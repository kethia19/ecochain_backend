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 hidePivotFieldList="1"/>
  <xr:revisionPtr revIDLastSave="194" documentId="11_548E7B7C934FAACEEB3B98154B5DCE3A274FB482" xr6:coauthVersionLast="47" xr6:coauthVersionMax="47" xr10:uidLastSave="{B6B6E177-3FBD-4DD7-A834-E843E8A670A9}"/>
  <bookViews>
    <workbookView xWindow="0" yWindow="0" windowWidth="0" windowHeight="0" activeTab="1" xr2:uid="{00000000-000D-0000-FFFF-FFFF00000000}"/>
  </bookViews>
  <sheets>
    <sheet name="Maintenance_Analytics" sheetId="1" r:id="rId1"/>
    <sheet name="Maintenance Summary" sheetId="2" r:id="rId2"/>
  </sheets>
  <calcPr calcId="191028"/>
  <pivotCaches>
    <pivotCache cacheId="228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2" i="1"/>
</calcChain>
</file>

<file path=xl/sharedStrings.xml><?xml version="1.0" encoding="utf-8"?>
<sst xmlns="http://schemas.openxmlformats.org/spreadsheetml/2006/main" count="465" uniqueCount="239">
  <si>
    <t>Maintenance_ID</t>
  </si>
  <si>
    <t>User_ID</t>
  </si>
  <si>
    <t>Home_ID</t>
  </si>
  <si>
    <t>Category</t>
  </si>
  <si>
    <t>Task_Name</t>
  </si>
  <si>
    <t>Frequency</t>
  </si>
  <si>
    <t>Scheduled_Date</t>
  </si>
  <si>
    <t>Completion_Date</t>
  </si>
  <si>
    <t>Days_Late</t>
  </si>
  <si>
    <t>Compliance_Status</t>
  </si>
  <si>
    <t>Compliance_Score</t>
  </si>
  <si>
    <t>Target_Value</t>
  </si>
  <si>
    <t>Actual_Value</t>
  </si>
  <si>
    <t>Unit</t>
  </si>
  <si>
    <t>Benchmark_Achieved</t>
  </si>
  <si>
    <t>Effectiveness_Notes</t>
  </si>
  <si>
    <t>M001</t>
  </si>
  <si>
    <t>U001</t>
  </si>
  <si>
    <t>H001</t>
  </si>
  <si>
    <t>Energy Systems</t>
  </si>
  <si>
    <t>Solar panel cleaning</t>
  </si>
  <si>
    <t>Semi-Annual</t>
  </si>
  <si>
    <t>15/01/2026</t>
  </si>
  <si>
    <t>% output</t>
  </si>
  <si>
    <t>Panel efficiency improved</t>
  </si>
  <si>
    <t>M002</t>
  </si>
  <si>
    <t>Water Systems</t>
  </si>
  <si>
    <t>Rainwater tank cleaning</t>
  </si>
  <si>
    <t>Quarterly</t>
  </si>
  <si>
    <t>05/05/2026</t>
  </si>
  <si>
    <t>07/05/2026</t>
  </si>
  <si>
    <t>% efficiency</t>
  </si>
  <si>
    <t>Delay reduced efficiency</t>
  </si>
  <si>
    <t>M003</t>
  </si>
  <si>
    <t>U002</t>
  </si>
  <si>
    <t>H002</t>
  </si>
  <si>
    <t>Inverter check</t>
  </si>
  <si>
    <t>Annual</t>
  </si>
  <si>
    <t>10/02/2026</t>
  </si>
  <si>
    <t>20/02/2026</t>
  </si>
  <si>
    <t>% uptime</t>
  </si>
  <si>
    <t>Minor inverter issue fixed</t>
  </si>
  <si>
    <t>M004</t>
  </si>
  <si>
    <t>Landscaping &amp; Plants</t>
  </si>
  <si>
    <t>Outdoor pruning</t>
  </si>
  <si>
    <t>Monthly</t>
  </si>
  <si>
    <t>10/05/2026</t>
  </si>
  <si>
    <t>% health</t>
  </si>
  <si>
    <t>Pest control effective</t>
  </si>
  <si>
    <t>M005</t>
  </si>
  <si>
    <t>U003</t>
  </si>
  <si>
    <t>H003</t>
  </si>
  <si>
    <t>Battery health test</t>
  </si>
  <si>
    <t>01/06/2026</t>
  </si>
  <si>
    <t>02/06/2026</t>
  </si>
  <si>
    <t>% capacity</t>
  </si>
  <si>
    <t>Stable performance</t>
  </si>
  <si>
    <t>M006</t>
  </si>
  <si>
    <t>Soil enrichment</t>
  </si>
  <si>
    <t>20/06/2026</t>
  </si>
  <si>
    <t>21/06/2026</t>
  </si>
  <si>
    <t>% fertility</t>
  </si>
  <si>
    <t>Soil stable</t>
  </si>
  <si>
    <t>M007</t>
  </si>
  <si>
    <t>U004</t>
  </si>
  <si>
    <t>H004</t>
  </si>
  <si>
    <t>Leak inspection</t>
  </si>
  <si>
    <t>01/05/2026</t>
  </si>
  <si>
    <t>leaks</t>
  </si>
  <si>
    <t>No issues detected</t>
  </si>
  <si>
    <t>M008</t>
  </si>
  <si>
    <t>Building Structure</t>
  </si>
  <si>
    <t>Eco-material durability test</t>
  </si>
  <si>
    <t>Every 5 Years</t>
  </si>
  <si>
    <t>01/03/2026</t>
  </si>
  <si>
    <t>% condition</t>
  </si>
  <si>
    <t>Materials stable</t>
  </si>
  <si>
    <t>M009</t>
  </si>
  <si>
    <t>U005</t>
  </si>
  <si>
    <t>H005</t>
  </si>
  <si>
    <t>01/02/2026</t>
  </si>
  <si>
    <t>05/02/2026</t>
  </si>
  <si>
    <t>Battery slightly degraded</t>
  </si>
  <si>
    <t>M010</t>
  </si>
  <si>
    <t>Indoor plant watering</t>
  </si>
  <si>
    <t>Weekly</t>
  </si>
  <si>
    <t>10/03/2026</t>
  </si>
  <si>
    <t>12/03/2026</t>
  </si>
  <si>
    <t>% survival</t>
  </si>
  <si>
    <t>Slight wilting</t>
  </si>
  <si>
    <t>M011</t>
  </si>
  <si>
    <t>U006</t>
  </si>
  <si>
    <t>H006</t>
  </si>
  <si>
    <t>10/04/2026</t>
  </si>
  <si>
    <t>15/04/2026</t>
  </si>
  <si>
    <t>Delay reduced water quality</t>
  </si>
  <si>
    <t>M012</t>
  </si>
  <si>
    <t>Insulation check</t>
  </si>
  <si>
    <t>30/01/2026</t>
  </si>
  <si>
    <t>02/02/2026</t>
  </si>
  <si>
    <t>Insulation repaired</t>
  </si>
  <si>
    <t>M013</t>
  </si>
  <si>
    <t>U007</t>
  </si>
  <si>
    <t>H007</t>
  </si>
  <si>
    <t>M014</t>
  </si>
  <si>
    <t>12/05/2026</t>
  </si>
  <si>
    <t>20/05/2026</t>
  </si>
  <si>
    <t>Efficiency dropped</t>
  </si>
  <si>
    <t>M015</t>
  </si>
  <si>
    <t>U008</t>
  </si>
  <si>
    <t>H008</t>
  </si>
  <si>
    <t>Ventilation inspection</t>
  </si>
  <si>
    <t>25/02/2026</t>
  </si>
  <si>
    <t>27/02/2026</t>
  </si>
  <si>
    <t>% airflow</t>
  </si>
  <si>
    <t>Ducts cleaned</t>
  </si>
  <si>
    <t>M016</t>
  </si>
  <si>
    <t>Greywater filter replacement</t>
  </si>
  <si>
    <t>15/03/2026</t>
  </si>
  <si>
    <t>20/03/2026</t>
  </si>
  <si>
    <t>% filtration</t>
  </si>
  <si>
    <t>M017</t>
  </si>
  <si>
    <t>U009</t>
  </si>
  <si>
    <t>H009</t>
  </si>
  <si>
    <t>28/02/2026</t>
  </si>
  <si>
    <t>Inverter efficiency reduced</t>
  </si>
  <si>
    <t>M018</t>
  </si>
  <si>
    <t>M019</t>
  </si>
  <si>
    <t>U010</t>
  </si>
  <si>
    <t>H010</t>
  </si>
  <si>
    <t>Plants thriving</t>
  </si>
  <si>
    <t>M020</t>
  </si>
  <si>
    <t>Insulation intact</t>
  </si>
  <si>
    <t>M021</t>
  </si>
  <si>
    <t>U011</t>
  </si>
  <si>
    <t>H011</t>
  </si>
  <si>
    <t>M022</t>
  </si>
  <si>
    <t>U012</t>
  </si>
  <si>
    <t>H012</t>
  </si>
  <si>
    <t>M023</t>
  </si>
  <si>
    <t>U013</t>
  </si>
  <si>
    <t>H013</t>
  </si>
  <si>
    <t>M024</t>
  </si>
  <si>
    <t>U014</t>
  </si>
  <si>
    <t>H014</t>
  </si>
  <si>
    <t>M025</t>
  </si>
  <si>
    <t>U015</t>
  </si>
  <si>
    <t>H015</t>
  </si>
  <si>
    <t>Water quality maintained</t>
  </si>
  <si>
    <t>M026</t>
  </si>
  <si>
    <t>U016</t>
  </si>
  <si>
    <t>H016</t>
  </si>
  <si>
    <t>M027</t>
  </si>
  <si>
    <t>U017</t>
  </si>
  <si>
    <t>H017</t>
  </si>
  <si>
    <t>Battery stable</t>
  </si>
  <si>
    <t>M028</t>
  </si>
  <si>
    <t>U018</t>
  </si>
  <si>
    <t>H018</t>
  </si>
  <si>
    <t>M029</t>
  </si>
  <si>
    <t>U019</t>
  </si>
  <si>
    <t>H019</t>
  </si>
  <si>
    <t>M030</t>
  </si>
  <si>
    <t>U020</t>
  </si>
  <si>
    <t>H020</t>
  </si>
  <si>
    <t>Pest issue noted</t>
  </si>
  <si>
    <t>M031</t>
  </si>
  <si>
    <t>U021</t>
  </si>
  <si>
    <t>H021</t>
  </si>
  <si>
    <t>Solar inverter firmware update</t>
  </si>
  <si>
    <t>01/04/2026</t>
  </si>
  <si>
    <t>Firmware optimized</t>
  </si>
  <si>
    <t>M032</t>
  </si>
  <si>
    <t>U022</t>
  </si>
  <si>
    <t>H022</t>
  </si>
  <si>
    <t>Greywater pipe inspection</t>
  </si>
  <si>
    <t>11/04/2026</t>
  </si>
  <si>
    <t>% flow</t>
  </si>
  <si>
    <t>Minor blockage found</t>
  </si>
  <si>
    <t>M033</t>
  </si>
  <si>
    <t>U023</t>
  </si>
  <si>
    <t>H023</t>
  </si>
  <si>
    <t>Green roof inspection</t>
  </si>
  <si>
    <t>Vegetation healthy</t>
  </si>
  <si>
    <t>M034</t>
  </si>
  <si>
    <t>U024</t>
  </si>
  <si>
    <t>H024</t>
  </si>
  <si>
    <t>Tree pruning</t>
  </si>
  <si>
    <t>Healthy canopy growth</t>
  </si>
  <si>
    <t>M035</t>
  </si>
  <si>
    <t>U025</t>
  </si>
  <si>
    <t>H025</t>
  </si>
  <si>
    <t>Solar battery replacement check</t>
  </si>
  <si>
    <t>09/02/2026</t>
  </si>
  <si>
    <t>Replacement recommended</t>
  </si>
  <si>
    <t>M036</t>
  </si>
  <si>
    <t>U026</t>
  </si>
  <si>
    <t>H026</t>
  </si>
  <si>
    <t>Rain sensor calibration</t>
  </si>
  <si>
    <t>20/01/2026</t>
  </si>
  <si>
    <t>% accuracy</t>
  </si>
  <si>
    <t>Sensor calibrated</t>
  </si>
  <si>
    <t>M037</t>
  </si>
  <si>
    <t>U027</t>
  </si>
  <si>
    <t>H027</t>
  </si>
  <si>
    <t>Natural ventilation audit</t>
  </si>
  <si>
    <t>03/06/2026</t>
  </si>
  <si>
    <t>Minor vent obstruction</t>
  </si>
  <si>
    <t>M038</t>
  </si>
  <si>
    <t>U028</t>
  </si>
  <si>
    <t>H028</t>
  </si>
  <si>
    <t>Compost system inspection</t>
  </si>
  <si>
    <t>% effectiveness</t>
  </si>
  <si>
    <t>Composting optimal</t>
  </si>
  <si>
    <t>M039</t>
  </si>
  <si>
    <t>U029</t>
  </si>
  <si>
    <t>H029</t>
  </si>
  <si>
    <t>LED efficiency audit</t>
  </si>
  <si>
    <t>18/04/2026</t>
  </si>
  <si>
    <t>Some bulbs degraded</t>
  </si>
  <si>
    <t>M040</t>
  </si>
  <si>
    <t>U030</t>
  </si>
  <si>
    <t>H030</t>
  </si>
  <si>
    <t>Water filtration inspection</t>
  </si>
  <si>
    <t>Filtration performing well</t>
  </si>
  <si>
    <t>COMPLIANCE STATUS BREAKDOWN</t>
  </si>
  <si>
    <t>BENCHMARK ACHIEVEMENT ANALYSIS</t>
  </si>
  <si>
    <t>MOST FREQUENTLY PERFOMED TASKS</t>
  </si>
  <si>
    <t>Count of Maintenance_ID</t>
  </si>
  <si>
    <t>Late</t>
  </si>
  <si>
    <t>No</t>
  </si>
  <si>
    <t>On-time</t>
  </si>
  <si>
    <t>Yes</t>
  </si>
  <si>
    <t>Overdue</t>
  </si>
  <si>
    <t>Grand Total</t>
  </si>
  <si>
    <t>INSIGHT</t>
  </si>
  <si>
    <t>52% of maintenance activities met their sustainability benchmark.</t>
  </si>
  <si>
    <t>CATEGORY PERFORMANCE</t>
  </si>
  <si>
    <t>Average of Compliance_Score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</si>
</sst>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;@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  <font>
      <b/>
      <sz val="13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  <xf numFmtId="0" fontId="0" fillId="0" borderId="0" xfId="0" applyAlignment="1">
      <alignment wrapText="1"/>
    </xf>
    <xf numFmtId="14" fontId="1" fillId="0" borderId="0" xfId="0" applyNumberFormat="1" applyFont="1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2" fillId="0" borderId="0" xfId="0" applyFont="1"/>
    <xf numFmtId="10" fontId="0" fillId="0" borderId="0" xfId="0" applyNumberFormat="1"/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4">
    <dxf>
      <numFmt numFmtId="164" formatCode="m/d/yyyy;@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alignment wrapText="1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77.135307291668" createdVersion="8" refreshedVersion="8" minRefreshableVersion="3" recordCount="40" xr:uid="{D16E0AA2-8488-41B3-BA97-DFEF3A7A879D}">
  <cacheSource type="worksheet">
    <worksheetSource name="Maintenance"/>
  </cacheSource>
  <cacheFields count="16">
    <cacheField name="Maintenance_ID" numFmtId="0">
      <sharedItems count="40">
        <s v="M001"/>
        <s v="M002"/>
        <s v="M003"/>
        <s v="M004"/>
        <s v="M005"/>
        <s v="M006"/>
        <s v="M007"/>
        <s v="M008"/>
        <s v="M009"/>
        <s v="M010"/>
        <s v="M011"/>
        <s v="M012"/>
        <s v="M013"/>
        <s v="M014"/>
        <s v="M015"/>
        <s v="M016"/>
        <s v="M017"/>
        <s v="M018"/>
        <s v="M019"/>
        <s v="M020"/>
        <s v="M021"/>
        <s v="M022"/>
        <s v="M023"/>
        <s v="M024"/>
        <s v="M025"/>
        <s v="M026"/>
        <s v="M027"/>
        <s v="M028"/>
        <s v="M029"/>
        <s v="M030"/>
        <s v="M031"/>
        <s v="M032"/>
        <s v="M033"/>
        <s v="M034"/>
        <s v="M035"/>
        <s v="M036"/>
        <s v="M037"/>
        <s v="M038"/>
        <s v="M039"/>
        <s v="M040"/>
      </sharedItems>
    </cacheField>
    <cacheField name="User_ID" numFmtId="0">
      <sharedItems/>
    </cacheField>
    <cacheField name="Home_ID" numFmtId="0">
      <sharedItems/>
    </cacheField>
    <cacheField name="Category" numFmtId="0">
      <sharedItems count="4">
        <s v="Energy Systems"/>
        <s v="Water Systems"/>
        <s v="Landscaping &amp; Plants"/>
        <s v="Building Structure"/>
      </sharedItems>
    </cacheField>
    <cacheField name="Task_Name" numFmtId="0">
      <sharedItems count="22">
        <s v="Solar panel cleaning"/>
        <s v="Rainwater tank cleaning"/>
        <s v="Inverter check"/>
        <s v="Outdoor pruning"/>
        <s v="Battery health test"/>
        <s v="Soil enrichment"/>
        <s v="Leak inspection"/>
        <s v="Eco-material durability test"/>
        <s v="Indoor plant watering"/>
        <s v="Insulation check"/>
        <s v="Ventilation inspection"/>
        <s v="Greywater filter replacement"/>
        <s v="Solar inverter firmware update"/>
        <s v="Greywater pipe inspection"/>
        <s v="Green roof inspection"/>
        <s v="Tree pruning"/>
        <s v="Solar battery replacement check"/>
        <s v="Rain sensor calibration"/>
        <s v="Natural ventilation audit"/>
        <s v="Compost system inspection"/>
        <s v="LED efficiency audit"/>
        <s v="Water filtration inspection"/>
      </sharedItems>
    </cacheField>
    <cacheField name="Frequency" numFmtId="0">
      <sharedItems/>
    </cacheField>
    <cacheField name="Scheduled_Date" numFmtId="14">
      <sharedItems/>
    </cacheField>
    <cacheField name="Completion_Date" numFmtId="164">
      <sharedItems/>
    </cacheField>
    <cacheField name="Days_Late" numFmtId="0">
      <sharedItems containsSemiMixedTypes="0" containsString="0" containsNumber="1" containsInteger="1" minValue="0" maxValue="10"/>
    </cacheField>
    <cacheField name="Compliance_Status" numFmtId="0">
      <sharedItems count="3">
        <s v="On-time"/>
        <s v="Late"/>
        <s v="Overdue"/>
      </sharedItems>
    </cacheField>
    <cacheField name="Compliance_Score" numFmtId="0">
      <sharedItems containsSemiMixedTypes="0" containsString="0" containsNumber="1" containsInteger="1" minValue="50" maxValue="100"/>
    </cacheField>
    <cacheField name="Target_Value" numFmtId="0">
      <sharedItems containsSemiMixedTypes="0" containsString="0" containsNumber="1" containsInteger="1" minValue="0" maxValue="100"/>
    </cacheField>
    <cacheField name="Actual_Value" numFmtId="0">
      <sharedItems containsSemiMixedTypes="0" containsString="0" containsNumber="1" containsInteger="1" minValue="0" maxValue="100"/>
    </cacheField>
    <cacheField name="Unit" numFmtId="0">
      <sharedItems/>
    </cacheField>
    <cacheField name="Benchmark_Achieved" numFmtId="0">
      <sharedItems count="2">
        <s v="Yes"/>
        <s v="No"/>
      </sharedItems>
    </cacheField>
    <cacheField name="Effectiveness_Notes" numFmtId="0">
      <sharedItems/>
    </cacheField>
  </cacheFields>
  <extLst>
    <ext xmlns:x14="http://schemas.microsoft.com/office/spreadsheetml/2009/9/main" uri="{725AE2AE-9491-48be-B2B4-4EB974FC3084}">
      <x14:pivotCacheDefinition pivotCacheId="165477383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x v="0"/>
    <s v="U001"/>
    <s v="H001"/>
    <x v="0"/>
    <x v="0"/>
    <s v="Semi-Annual"/>
    <s v="15/01/2026"/>
    <s v="15/01/2026"/>
    <n v="0"/>
    <x v="0"/>
    <n v="100"/>
    <n v="90"/>
    <n v="92"/>
    <s v="% output"/>
    <x v="0"/>
    <s v="Panel efficiency improved"/>
  </r>
  <r>
    <x v="1"/>
    <s v="U001"/>
    <s v="H001"/>
    <x v="1"/>
    <x v="1"/>
    <s v="Quarterly"/>
    <s v="05/05/2026"/>
    <s v="07/05/2026"/>
    <n v="2"/>
    <x v="1"/>
    <n v="90"/>
    <n v="80"/>
    <n v="78"/>
    <s v="% efficiency"/>
    <x v="1"/>
    <s v="Delay reduced efficiency"/>
  </r>
  <r>
    <x v="2"/>
    <s v="U002"/>
    <s v="H002"/>
    <x v="0"/>
    <x v="2"/>
    <s v="Annual"/>
    <s v="10/02/2026"/>
    <s v="20/02/2026"/>
    <n v="10"/>
    <x v="2"/>
    <n v="50"/>
    <n v="95"/>
    <n v="93"/>
    <s v="% uptime"/>
    <x v="1"/>
    <s v="Minor inverter issue fixed"/>
  </r>
  <r>
    <x v="3"/>
    <s v="U002"/>
    <s v="H002"/>
    <x v="2"/>
    <x v="3"/>
    <s v="Monthly"/>
    <s v="10/05/2026"/>
    <s v="10/05/2026"/>
    <n v="0"/>
    <x v="0"/>
    <n v="100"/>
    <n v="90"/>
    <n v="91"/>
    <s v="% health"/>
    <x v="0"/>
    <s v="Pest control effective"/>
  </r>
  <r>
    <x v="4"/>
    <s v="U003"/>
    <s v="H003"/>
    <x v="0"/>
    <x v="4"/>
    <s v="Quarterly"/>
    <s v="01/06/2026"/>
    <s v="02/06/2026"/>
    <n v="1"/>
    <x v="1"/>
    <n v="95"/>
    <n v="85"/>
    <n v="86"/>
    <s v="% capacity"/>
    <x v="0"/>
    <s v="Stable performance"/>
  </r>
  <r>
    <x v="5"/>
    <s v="U003"/>
    <s v="H003"/>
    <x v="2"/>
    <x v="5"/>
    <s v="Quarterly"/>
    <s v="20/06/2026"/>
    <s v="21/06/2026"/>
    <n v="1"/>
    <x v="1"/>
    <n v="95"/>
    <n v="85"/>
    <n v="86"/>
    <s v="% fertility"/>
    <x v="0"/>
    <s v="Soil stable"/>
  </r>
  <r>
    <x v="6"/>
    <s v="U004"/>
    <s v="H004"/>
    <x v="1"/>
    <x v="6"/>
    <s v="Monthly"/>
    <s v="01/05/2026"/>
    <s v="01/05/2026"/>
    <n v="0"/>
    <x v="0"/>
    <n v="100"/>
    <n v="0"/>
    <n v="0"/>
    <s v="leaks"/>
    <x v="0"/>
    <s v="No issues detected"/>
  </r>
  <r>
    <x v="7"/>
    <s v="U004"/>
    <s v="H004"/>
    <x v="3"/>
    <x v="7"/>
    <s v="Every 5 Years"/>
    <s v="01/03/2026"/>
    <s v="01/03/2026"/>
    <n v="0"/>
    <x v="0"/>
    <n v="100"/>
    <n v="100"/>
    <n v="100"/>
    <s v="% condition"/>
    <x v="0"/>
    <s v="Materials stable"/>
  </r>
  <r>
    <x v="8"/>
    <s v="U005"/>
    <s v="H005"/>
    <x v="0"/>
    <x v="4"/>
    <s v="Quarterly"/>
    <s v="01/02/2026"/>
    <s v="05/02/2026"/>
    <n v="4"/>
    <x v="1"/>
    <n v="80"/>
    <n v="85"/>
    <n v="83"/>
    <s v="% capacity"/>
    <x v="1"/>
    <s v="Battery slightly degraded"/>
  </r>
  <r>
    <x v="9"/>
    <s v="U005"/>
    <s v="H005"/>
    <x v="2"/>
    <x v="8"/>
    <s v="Weekly"/>
    <s v="10/03/2026"/>
    <s v="12/03/2026"/>
    <n v="2"/>
    <x v="1"/>
    <n v="90"/>
    <n v="95"/>
    <n v="93"/>
    <s v="% survival"/>
    <x v="1"/>
    <s v="Slight wilting"/>
  </r>
  <r>
    <x v="10"/>
    <s v="U006"/>
    <s v="H006"/>
    <x v="1"/>
    <x v="1"/>
    <s v="Quarterly"/>
    <s v="10/04/2026"/>
    <s v="15/04/2026"/>
    <n v="5"/>
    <x v="1"/>
    <n v="75"/>
    <n v="80"/>
    <n v="75"/>
    <s v="% efficiency"/>
    <x v="1"/>
    <s v="Delay reduced water quality"/>
  </r>
  <r>
    <x v="11"/>
    <s v="U006"/>
    <s v="H006"/>
    <x v="3"/>
    <x v="9"/>
    <s v="Annual"/>
    <s v="30/01/2026"/>
    <s v="02/02/2026"/>
    <n v="3"/>
    <x v="1"/>
    <n v="85"/>
    <n v="100"/>
    <n v="95"/>
    <s v="% condition"/>
    <x v="1"/>
    <s v="Insulation repaired"/>
  </r>
  <r>
    <x v="12"/>
    <s v="U007"/>
    <s v="H007"/>
    <x v="2"/>
    <x v="3"/>
    <s v="Monthly"/>
    <s v="10/05/2026"/>
    <s v="10/05/2026"/>
    <n v="0"/>
    <x v="0"/>
    <n v="100"/>
    <n v="90"/>
    <n v="91"/>
    <s v="% health"/>
    <x v="0"/>
    <s v="Pest control effective"/>
  </r>
  <r>
    <x v="13"/>
    <s v="U007"/>
    <s v="H007"/>
    <x v="0"/>
    <x v="0"/>
    <s v="Semi-Annual"/>
    <s v="12/05/2026"/>
    <s v="20/05/2026"/>
    <n v="8"/>
    <x v="2"/>
    <n v="60"/>
    <n v="90"/>
    <n v="85"/>
    <s v="% output"/>
    <x v="1"/>
    <s v="Efficiency dropped"/>
  </r>
  <r>
    <x v="14"/>
    <s v="U008"/>
    <s v="H008"/>
    <x v="3"/>
    <x v="10"/>
    <s v="Annual"/>
    <s v="25/02/2026"/>
    <s v="27/02/2026"/>
    <n v="2"/>
    <x v="1"/>
    <n v="90"/>
    <n v="95"/>
    <n v="92"/>
    <s v="% airflow"/>
    <x v="1"/>
    <s v="Ducts cleaned"/>
  </r>
  <r>
    <x v="15"/>
    <s v="U008"/>
    <s v="H008"/>
    <x v="1"/>
    <x v="11"/>
    <s v="Annual"/>
    <s v="15/03/2026"/>
    <s v="20/03/2026"/>
    <n v="5"/>
    <x v="1"/>
    <n v="75"/>
    <n v="85"/>
    <n v="80"/>
    <s v="% filtration"/>
    <x v="1"/>
    <s v="Delay reduced efficiency"/>
  </r>
  <r>
    <x v="16"/>
    <s v="U009"/>
    <s v="H009"/>
    <x v="0"/>
    <x v="2"/>
    <s v="Annual"/>
    <s v="20/02/2026"/>
    <s v="28/02/2026"/>
    <n v="8"/>
    <x v="2"/>
    <n v="60"/>
    <n v="95"/>
    <n v="90"/>
    <s v="% uptime"/>
    <x v="1"/>
    <s v="Inverter efficiency reduced"/>
  </r>
  <r>
    <x v="17"/>
    <s v="U009"/>
    <s v="H009"/>
    <x v="2"/>
    <x v="5"/>
    <s v="Quarterly"/>
    <s v="15/04/2026"/>
    <s v="15/04/2026"/>
    <n v="0"/>
    <x v="0"/>
    <n v="100"/>
    <n v="85"/>
    <n v="86"/>
    <s v="% fertility"/>
    <x v="0"/>
    <s v="Soil stable"/>
  </r>
  <r>
    <x v="18"/>
    <s v="U010"/>
    <s v="H010"/>
    <x v="2"/>
    <x v="8"/>
    <s v="Weekly"/>
    <s v="01/06/2026"/>
    <s v="01/06/2026"/>
    <n v="0"/>
    <x v="0"/>
    <n v="100"/>
    <n v="95"/>
    <n v="97"/>
    <s v="% survival"/>
    <x v="0"/>
    <s v="Plants thriving"/>
  </r>
  <r>
    <x v="19"/>
    <s v="U010"/>
    <s v="H010"/>
    <x v="3"/>
    <x v="9"/>
    <s v="Annual"/>
    <s v="30/01/2026"/>
    <s v="30/01/2026"/>
    <n v="0"/>
    <x v="0"/>
    <n v="100"/>
    <n v="100"/>
    <n v="100"/>
    <s v="% condition"/>
    <x v="0"/>
    <s v="Insulation intact"/>
  </r>
  <r>
    <x v="20"/>
    <s v="U011"/>
    <s v="H011"/>
    <x v="1"/>
    <x v="6"/>
    <s v="Monthly"/>
    <s v="01/03/2026"/>
    <s v="01/03/2026"/>
    <n v="0"/>
    <x v="0"/>
    <n v="100"/>
    <n v="0"/>
    <n v="0"/>
    <s v="leaks"/>
    <x v="0"/>
    <s v="No issues detected"/>
  </r>
  <r>
    <x v="21"/>
    <s v="U012"/>
    <s v="H012"/>
    <x v="0"/>
    <x v="0"/>
    <s v="Semi-Annual"/>
    <s v="12/05/2026"/>
    <s v="20/05/2026"/>
    <n v="8"/>
    <x v="2"/>
    <n v="60"/>
    <n v="90"/>
    <n v="85"/>
    <s v="% output"/>
    <x v="1"/>
    <s v="Efficiency dropped"/>
  </r>
  <r>
    <x v="22"/>
    <s v="U013"/>
    <s v="H013"/>
    <x v="2"/>
    <x v="5"/>
    <s v="Quarterly"/>
    <s v="15/04/2026"/>
    <s v="15/04/2026"/>
    <n v="0"/>
    <x v="0"/>
    <n v="100"/>
    <n v="85"/>
    <n v="86"/>
    <s v="% fertility"/>
    <x v="0"/>
    <s v="Soil stable"/>
  </r>
  <r>
    <x v="23"/>
    <s v="U014"/>
    <s v="H014"/>
    <x v="3"/>
    <x v="10"/>
    <s v="Annual"/>
    <s v="25/02/2026"/>
    <s v="27/02/2026"/>
    <n v="2"/>
    <x v="1"/>
    <n v="90"/>
    <n v="95"/>
    <n v="92"/>
    <s v="% airflow"/>
    <x v="1"/>
    <s v="Ducts cleaned"/>
  </r>
  <r>
    <x v="24"/>
    <s v="U015"/>
    <s v="H015"/>
    <x v="1"/>
    <x v="1"/>
    <s v="Quarterly"/>
    <s v="05/05/2026"/>
    <s v="05/05/2026"/>
    <n v="0"/>
    <x v="0"/>
    <n v="100"/>
    <n v="80"/>
    <n v="81"/>
    <s v="% efficiency"/>
    <x v="0"/>
    <s v="Water quality maintained"/>
  </r>
  <r>
    <x v="25"/>
    <s v="U016"/>
    <s v="H016"/>
    <x v="2"/>
    <x v="8"/>
    <s v="Weekly"/>
    <s v="10/03/2026"/>
    <s v="12/03/2026"/>
    <n v="2"/>
    <x v="1"/>
    <n v="90"/>
    <n v="95"/>
    <n v="93"/>
    <s v="% survival"/>
    <x v="1"/>
    <s v="Slight wilting"/>
  </r>
  <r>
    <x v="26"/>
    <s v="U017"/>
    <s v="H017"/>
    <x v="0"/>
    <x v="4"/>
    <s v="Quarterly"/>
    <s v="01/06/2026"/>
    <s v="01/06/2026"/>
    <n v="0"/>
    <x v="0"/>
    <n v="100"/>
    <n v="85"/>
    <n v="88"/>
    <s v="% capacity"/>
    <x v="0"/>
    <s v="Battery stable"/>
  </r>
  <r>
    <x v="27"/>
    <s v="U018"/>
    <s v="H018"/>
    <x v="3"/>
    <x v="9"/>
    <s v="Annual"/>
    <s v="30/01/2026"/>
    <s v="30/01/2026"/>
    <n v="0"/>
    <x v="0"/>
    <n v="100"/>
    <n v="100"/>
    <n v="100"/>
    <s v="% condition"/>
    <x v="0"/>
    <s v="Insulation intact"/>
  </r>
  <r>
    <x v="28"/>
    <s v="U019"/>
    <s v="H019"/>
    <x v="1"/>
    <x v="11"/>
    <s v="Annual"/>
    <s v="15/03/2026"/>
    <s v="20/03/2026"/>
    <n v="5"/>
    <x v="1"/>
    <n v="75"/>
    <n v="85"/>
    <n v="80"/>
    <s v="% filtration"/>
    <x v="1"/>
    <s v="Delay reduced efficiency"/>
  </r>
  <r>
    <x v="29"/>
    <s v="U020"/>
    <s v="H020"/>
    <x v="2"/>
    <x v="3"/>
    <s v="Monthly"/>
    <s v="10/05/2026"/>
    <s v="12/05/2026"/>
    <n v="2"/>
    <x v="1"/>
    <n v="90"/>
    <n v="90"/>
    <n v="88"/>
    <s v="% health"/>
    <x v="1"/>
    <s v="Pest issue noted"/>
  </r>
  <r>
    <x v="30"/>
    <s v="U021"/>
    <s v="H021"/>
    <x v="0"/>
    <x v="12"/>
    <s v="Annual"/>
    <s v="01/04/2026"/>
    <s v="01/04/2026"/>
    <n v="0"/>
    <x v="0"/>
    <n v="100"/>
    <n v="95"/>
    <n v="97"/>
    <s v="% uptime"/>
    <x v="0"/>
    <s v="Firmware optimized"/>
  </r>
  <r>
    <x v="31"/>
    <s v="U022"/>
    <s v="H022"/>
    <x v="1"/>
    <x v="13"/>
    <s v="Quarterly"/>
    <s v="10/04/2026"/>
    <s v="11/04/2026"/>
    <n v="1"/>
    <x v="1"/>
    <n v="95"/>
    <n v="90"/>
    <n v="89"/>
    <s v="% flow"/>
    <x v="1"/>
    <s v="Minor blockage found"/>
  </r>
  <r>
    <x v="32"/>
    <s v="U023"/>
    <s v="H023"/>
    <x v="3"/>
    <x v="14"/>
    <s v="Quarterly"/>
    <s v="01/05/2026"/>
    <s v="01/05/2026"/>
    <n v="0"/>
    <x v="0"/>
    <n v="100"/>
    <n v="90"/>
    <n v="93"/>
    <s v="% condition"/>
    <x v="0"/>
    <s v="Vegetation healthy"/>
  </r>
  <r>
    <x v="33"/>
    <s v="U024"/>
    <s v="H024"/>
    <x v="2"/>
    <x v="15"/>
    <s v="Quarterly"/>
    <s v="15/03/2026"/>
    <s v="15/03/2026"/>
    <n v="0"/>
    <x v="0"/>
    <n v="100"/>
    <n v="90"/>
    <n v="92"/>
    <s v="% health"/>
    <x v="0"/>
    <s v="Healthy canopy growth"/>
  </r>
  <r>
    <x v="34"/>
    <s v="U025"/>
    <s v="H025"/>
    <x v="0"/>
    <x v="16"/>
    <s v="Annual"/>
    <s v="01/02/2026"/>
    <s v="09/02/2026"/>
    <n v="8"/>
    <x v="2"/>
    <n v="60"/>
    <n v="85"/>
    <n v="79"/>
    <s v="% capacity"/>
    <x v="1"/>
    <s v="Replacement recommended"/>
  </r>
  <r>
    <x v="35"/>
    <s v="U026"/>
    <s v="H026"/>
    <x v="1"/>
    <x v="17"/>
    <s v="Annual"/>
    <s v="20/01/2026"/>
    <s v="20/01/2026"/>
    <n v="0"/>
    <x v="0"/>
    <n v="100"/>
    <n v="95"/>
    <n v="96"/>
    <s v="% accuracy"/>
    <x v="0"/>
    <s v="Sensor calibrated"/>
  </r>
  <r>
    <x v="36"/>
    <s v="U027"/>
    <s v="H027"/>
    <x v="3"/>
    <x v="18"/>
    <s v="Annual"/>
    <s v="01/06/2026"/>
    <s v="03/06/2026"/>
    <n v="2"/>
    <x v="1"/>
    <n v="90"/>
    <n v="95"/>
    <n v="94"/>
    <s v="% airflow"/>
    <x v="1"/>
    <s v="Minor vent obstruction"/>
  </r>
  <r>
    <x v="37"/>
    <s v="U028"/>
    <s v="H028"/>
    <x v="2"/>
    <x v="19"/>
    <s v="Monthly"/>
    <s v="05/05/2026"/>
    <s v="05/05/2026"/>
    <n v="0"/>
    <x v="0"/>
    <n v="100"/>
    <n v="85"/>
    <n v="89"/>
    <s v="% effectiveness"/>
    <x v="0"/>
    <s v="Composting optimal"/>
  </r>
  <r>
    <x v="38"/>
    <s v="U029"/>
    <s v="H029"/>
    <x v="0"/>
    <x v="20"/>
    <s v="Annual"/>
    <s v="15/04/2026"/>
    <s v="18/04/2026"/>
    <n v="3"/>
    <x v="1"/>
    <n v="85"/>
    <n v="90"/>
    <n v="88"/>
    <s v="% efficiency"/>
    <x v="1"/>
    <s v="Some bulbs degraded"/>
  </r>
  <r>
    <x v="39"/>
    <s v="U030"/>
    <s v="H030"/>
    <x v="1"/>
    <x v="21"/>
    <s v="Quarterly"/>
    <s v="20/05/2026"/>
    <s v="20/05/2026"/>
    <n v="0"/>
    <x v="0"/>
    <n v="100"/>
    <n v="90"/>
    <n v="92"/>
    <s v="% filtration"/>
    <x v="0"/>
    <s v="Filtration performing well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0FA2C2-C93F-4EC7-9F83-5CDF364833A9}" name="PivotTable7" cacheId="2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I3:J26" firstHeaderRow="1" firstDataRow="1" firstDataCol="1"/>
  <pivotFields count="16">
    <pivotField dataField="1"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23">
        <item x="4"/>
        <item x="19"/>
        <item x="7"/>
        <item x="14"/>
        <item x="11"/>
        <item x="13"/>
        <item x="8"/>
        <item x="9"/>
        <item x="2"/>
        <item x="6"/>
        <item x="20"/>
        <item x="18"/>
        <item x="3"/>
        <item x="17"/>
        <item x="1"/>
        <item x="5"/>
        <item x="16"/>
        <item x="12"/>
        <item x="0"/>
        <item x="15"/>
        <item x="10"/>
        <item x="2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4"/>
  </rowFields>
  <rowItems count="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Items count="1">
    <i/>
  </colItems>
  <dataFields count="1">
    <dataField name="Count of Maintenance_ID" fld="0" subtotal="count" baseField="0" baseItem="0"/>
  </dataFields>
  <formats count="1">
    <format dxfId="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FF4D18-C162-45B1-BE40-4AEC3002DB9C}" name="PivotTable5" cacheId="2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E3:F6" firstHeaderRow="1" firstDataRow="1" firstDataCol="1"/>
  <pivotFields count="16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1"/>
        <item x="0"/>
        <item t="default"/>
      </items>
    </pivotField>
    <pivotField compact="0" outline="0" showAll="0"/>
  </pivotFields>
  <rowFields count="1">
    <field x="14"/>
  </rowFields>
  <rowItems count="3">
    <i>
      <x/>
    </i>
    <i>
      <x v="1"/>
    </i>
    <i t="grand">
      <x/>
    </i>
  </rowItems>
  <colItems count="1">
    <i/>
  </colItems>
  <dataFields count="1">
    <dataField name="Count of Maintenance_ID" fld="0" subtotal="count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6A5E0A-BFE8-44EF-A323-53C3CCEB6AD9}" name="PivotTable3" cacheId="2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2:B17" firstHeaderRow="1" firstDataRow="1" firstDataCol="1"/>
  <pivotFields count="16">
    <pivotField compact="0" outline="0" showAll="0"/>
    <pivotField compact="0" outline="0" showAll="0"/>
    <pivotField compact="0" outline="0" showAll="0"/>
    <pivotField axis="axisRow" compact="0" outline="0" showAll="0">
      <items count="5">
        <item x="3"/>
        <item x="0"/>
        <item x="2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Compliance_Score" fld="10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2ADD5F-8CF2-43C2-A751-23C188FFAB34}" name="PivotTable2" cacheId="2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7" firstHeaderRow="1" firstDataRow="1" firstDataCol="1"/>
  <pivotFields count="16">
    <pivotField dataField="1" compact="0" outline="0" showAll="0">
      <items count="41">
        <item h="1" x="0"/>
        <item h="1" x="1"/>
        <item h="1" x="2"/>
        <item h="1" x="3"/>
        <item h="1" x="4"/>
        <item h="1" x="5"/>
        <item h="1" x="6"/>
        <item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1"/>
        <item x="0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Maintenance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1F7A76-7208-40FE-B32D-281D8C0367B5}" name="Maintenance" displayName="Maintenance" ref="A1:P41" totalsRowShown="0" headerRowDxfId="2">
  <autoFilter ref="A1:P41" xr:uid="{0A1F7A76-7208-40FE-B32D-281D8C0367B5}"/>
  <tableColumns count="16">
    <tableColumn id="1" xr3:uid="{0ECED5A3-DC3C-470B-A2D0-785659EC0434}" name="Maintenance_ID"/>
    <tableColumn id="2" xr3:uid="{3311BB7B-3692-4D47-B0C8-2E95D11B3B1B}" name="User_ID"/>
    <tableColumn id="3" xr3:uid="{DD31D33C-32E4-4DF3-926C-F0FA93970540}" name="Home_ID"/>
    <tableColumn id="4" xr3:uid="{01B21BC2-D628-4810-AFE2-5C8EA010CD33}" name="Category"/>
    <tableColumn id="5" xr3:uid="{D2627F8A-15A2-46B0-B541-581C6C5641FA}" name="Task_Name"/>
    <tableColumn id="6" xr3:uid="{4016F825-645A-4368-BDED-C375C2AE0E35}" name="Frequency"/>
    <tableColumn id="7" xr3:uid="{8849033D-52C4-478E-9119-D22648835DB3}" name="Scheduled_Date" dataDxfId="1"/>
    <tableColumn id="8" xr3:uid="{AC666E73-376A-4652-9D9F-38A8C0B2352C}" name="Completion_Date" dataDxfId="0"/>
    <tableColumn id="9" xr3:uid="{21E6C0D7-4A01-483D-8DD2-B1365AEFAEF8}" name="Days_Late">
      <calculatedColumnFormula>H2 - G2</calculatedColumnFormula>
    </tableColumn>
    <tableColumn id="10" xr3:uid="{58B92A50-51FF-4F27-97AA-932BBA797F01}" name="Compliance_Status">
      <calculatedColumnFormula>IF(I2=0,"On-time",IF(I2&lt;=7,"Late","Overdue"))</calculatedColumnFormula>
    </tableColumn>
    <tableColumn id="11" xr3:uid="{FD05EEB7-8B1B-4FF6-B4D7-72C879E99DF3}" name="Compliance_Score">
      <calculatedColumnFormula>MAX(0,100-(I2*5))</calculatedColumnFormula>
    </tableColumn>
    <tableColumn id="12" xr3:uid="{5AE5E4C3-83B4-43F6-89B8-E63A218DB990}" name="Target_Value"/>
    <tableColumn id="13" xr3:uid="{B8AE0295-A072-47ED-81F7-CA8ACABB7F7F}" name="Actual_Value"/>
    <tableColumn id="14" xr3:uid="{638AD80C-9AE6-425B-9132-4A6D7A4EC858}" name="Unit"/>
    <tableColumn id="15" xr3:uid="{6A0588B6-925A-4442-A4A5-CA19A8120FED}" name="Benchmark_Achieved">
      <calculatedColumnFormula>IF(M2&gt;=L2,"Yes","No")</calculatedColumnFormula>
    </tableColumn>
    <tableColumn id="16" xr3:uid="{6EA03AAF-96EF-4C72-8704-BE2E30CACAB6}" name="Effectiveness_Notes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1"/>
  <sheetViews>
    <sheetView workbookViewId="0">
      <selection activeCell="F7" sqref="F7"/>
    </sheetView>
  </sheetViews>
  <sheetFormatPr defaultRowHeight="15"/>
  <cols>
    <col min="1" max="1" width="17.85546875" bestFit="1" customWidth="1"/>
    <col min="2" max="2" width="10.28515625" bestFit="1" customWidth="1"/>
    <col min="3" max="3" width="11.42578125" bestFit="1" customWidth="1"/>
    <col min="4" max="4" width="19.28515625" bestFit="1" customWidth="1"/>
    <col min="5" max="5" width="29.140625" bestFit="1" customWidth="1"/>
    <col min="6" max="6" width="12.42578125" bestFit="1" customWidth="1"/>
    <col min="7" max="7" width="17.5703125" style="6" bestFit="1" customWidth="1"/>
    <col min="8" max="8" width="18.85546875" style="3" bestFit="1" customWidth="1"/>
    <col min="9" max="9" width="12.28515625" bestFit="1" customWidth="1"/>
    <col min="10" max="10" width="20.140625" bestFit="1" customWidth="1"/>
    <col min="11" max="11" width="19.5703125" bestFit="1" customWidth="1"/>
    <col min="12" max="13" width="15" bestFit="1" customWidth="1"/>
    <col min="14" max="14" width="14.28515625" bestFit="1" customWidth="1"/>
    <col min="15" max="15" width="22.42578125" bestFit="1" customWidth="1"/>
    <col min="16" max="16" width="25.5703125" bestFit="1" customWidth="1"/>
  </cols>
  <sheetData>
    <row r="1" spans="1:1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5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s="6" t="s">
        <v>22</v>
      </c>
      <c r="H2" s="3" t="s">
        <v>22</v>
      </c>
      <c r="I2">
        <f>H2 - G2</f>
        <v>0</v>
      </c>
      <c r="J2" t="str">
        <f>IF(I2=0,"On-time",IF(I2&lt;=7,"Late","Overdue"))</f>
        <v>On-time</v>
      </c>
      <c r="K2">
        <f>MAX(0,100-(I2*5))</f>
        <v>100</v>
      </c>
      <c r="L2">
        <v>90</v>
      </c>
      <c r="M2">
        <v>92</v>
      </c>
      <c r="N2" t="s">
        <v>23</v>
      </c>
      <c r="O2" t="str">
        <f>IF(M2&gt;=L2,"Yes","No")</f>
        <v>Yes</v>
      </c>
      <c r="P2" t="s">
        <v>24</v>
      </c>
    </row>
    <row r="3" spans="1:16">
      <c r="A3" t="s">
        <v>25</v>
      </c>
      <c r="B3" t="s">
        <v>17</v>
      </c>
      <c r="C3" t="s">
        <v>18</v>
      </c>
      <c r="D3" t="s">
        <v>26</v>
      </c>
      <c r="E3" t="s">
        <v>27</v>
      </c>
      <c r="F3" t="s">
        <v>28</v>
      </c>
      <c r="G3" s="6" t="s">
        <v>29</v>
      </c>
      <c r="H3" s="3" t="s">
        <v>30</v>
      </c>
      <c r="I3">
        <f t="shared" ref="I3:I41" si="0">H3 - G3</f>
        <v>2</v>
      </c>
      <c r="J3" t="str">
        <f t="shared" ref="J3:J41" si="1">IF(I3=0,"On-time",IF(I3&lt;=7,"Late","Overdue"))</f>
        <v>Late</v>
      </c>
      <c r="K3">
        <f t="shared" ref="K3:K41" si="2">MAX(0,100-(I3*5))</f>
        <v>90</v>
      </c>
      <c r="L3">
        <v>80</v>
      </c>
      <c r="M3">
        <v>78</v>
      </c>
      <c r="N3" t="s">
        <v>31</v>
      </c>
      <c r="O3" t="str">
        <f t="shared" ref="O3:O41" si="3">IF(M3&gt;=L3,"Yes","No")</f>
        <v>No</v>
      </c>
      <c r="P3" t="s">
        <v>32</v>
      </c>
    </row>
    <row r="4" spans="1:16">
      <c r="A4" t="s">
        <v>33</v>
      </c>
      <c r="B4" t="s">
        <v>34</v>
      </c>
      <c r="C4" t="s">
        <v>35</v>
      </c>
      <c r="D4" t="s">
        <v>19</v>
      </c>
      <c r="E4" t="s">
        <v>36</v>
      </c>
      <c r="F4" t="s">
        <v>37</v>
      </c>
      <c r="G4" s="6" t="s">
        <v>38</v>
      </c>
      <c r="H4" s="3" t="s">
        <v>39</v>
      </c>
      <c r="I4">
        <f t="shared" si="0"/>
        <v>10</v>
      </c>
      <c r="J4" t="str">
        <f t="shared" si="1"/>
        <v>Overdue</v>
      </c>
      <c r="K4">
        <f t="shared" si="2"/>
        <v>50</v>
      </c>
      <c r="L4">
        <v>95</v>
      </c>
      <c r="M4">
        <v>93</v>
      </c>
      <c r="N4" t="s">
        <v>40</v>
      </c>
      <c r="O4" t="str">
        <f t="shared" si="3"/>
        <v>No</v>
      </c>
      <c r="P4" t="s">
        <v>41</v>
      </c>
    </row>
    <row r="5" spans="1:16">
      <c r="A5" t="s">
        <v>42</v>
      </c>
      <c r="B5" t="s">
        <v>34</v>
      </c>
      <c r="C5" t="s">
        <v>35</v>
      </c>
      <c r="D5" t="s">
        <v>43</v>
      </c>
      <c r="E5" t="s">
        <v>44</v>
      </c>
      <c r="F5" t="s">
        <v>45</v>
      </c>
      <c r="G5" s="6" t="s">
        <v>46</v>
      </c>
      <c r="H5" s="3" t="s">
        <v>46</v>
      </c>
      <c r="I5">
        <f t="shared" si="0"/>
        <v>0</v>
      </c>
      <c r="J5" t="str">
        <f t="shared" si="1"/>
        <v>On-time</v>
      </c>
      <c r="K5">
        <f t="shared" si="2"/>
        <v>100</v>
      </c>
      <c r="L5">
        <v>90</v>
      </c>
      <c r="M5">
        <v>91</v>
      </c>
      <c r="N5" t="s">
        <v>47</v>
      </c>
      <c r="O5" t="str">
        <f t="shared" si="3"/>
        <v>Yes</v>
      </c>
      <c r="P5" t="s">
        <v>48</v>
      </c>
    </row>
    <row r="6" spans="1:16">
      <c r="A6" t="s">
        <v>49</v>
      </c>
      <c r="B6" t="s">
        <v>50</v>
      </c>
      <c r="C6" t="s">
        <v>51</v>
      </c>
      <c r="D6" t="s">
        <v>19</v>
      </c>
      <c r="E6" t="s">
        <v>52</v>
      </c>
      <c r="F6" t="s">
        <v>28</v>
      </c>
      <c r="G6" s="6" t="s">
        <v>53</v>
      </c>
      <c r="H6" s="3" t="s">
        <v>54</v>
      </c>
      <c r="I6">
        <f t="shared" si="0"/>
        <v>1</v>
      </c>
      <c r="J6" t="str">
        <f t="shared" si="1"/>
        <v>Late</v>
      </c>
      <c r="K6">
        <f t="shared" si="2"/>
        <v>95</v>
      </c>
      <c r="L6">
        <v>85</v>
      </c>
      <c r="M6">
        <v>86</v>
      </c>
      <c r="N6" t="s">
        <v>55</v>
      </c>
      <c r="O6" t="str">
        <f t="shared" si="3"/>
        <v>Yes</v>
      </c>
      <c r="P6" t="s">
        <v>56</v>
      </c>
    </row>
    <row r="7" spans="1:16">
      <c r="A7" t="s">
        <v>57</v>
      </c>
      <c r="B7" t="s">
        <v>50</v>
      </c>
      <c r="C7" t="s">
        <v>51</v>
      </c>
      <c r="D7" t="s">
        <v>43</v>
      </c>
      <c r="E7" t="s">
        <v>58</v>
      </c>
      <c r="F7" t="s">
        <v>28</v>
      </c>
      <c r="G7" s="6" t="s">
        <v>59</v>
      </c>
      <c r="H7" s="3" t="s">
        <v>60</v>
      </c>
      <c r="I7">
        <f t="shared" si="0"/>
        <v>1</v>
      </c>
      <c r="J7" t="str">
        <f t="shared" si="1"/>
        <v>Late</v>
      </c>
      <c r="K7">
        <f t="shared" si="2"/>
        <v>95</v>
      </c>
      <c r="L7">
        <v>85</v>
      </c>
      <c r="M7">
        <v>86</v>
      </c>
      <c r="N7" t="s">
        <v>61</v>
      </c>
      <c r="O7" t="str">
        <f t="shared" si="3"/>
        <v>Yes</v>
      </c>
      <c r="P7" t="s">
        <v>62</v>
      </c>
    </row>
    <row r="8" spans="1:16">
      <c r="A8" t="s">
        <v>63</v>
      </c>
      <c r="B8" t="s">
        <v>64</v>
      </c>
      <c r="C8" t="s">
        <v>65</v>
      </c>
      <c r="D8" t="s">
        <v>26</v>
      </c>
      <c r="E8" t="s">
        <v>66</v>
      </c>
      <c r="F8" t="s">
        <v>45</v>
      </c>
      <c r="G8" s="6" t="s">
        <v>67</v>
      </c>
      <c r="H8" s="3" t="s">
        <v>67</v>
      </c>
      <c r="I8">
        <f t="shared" si="0"/>
        <v>0</v>
      </c>
      <c r="J8" t="str">
        <f t="shared" si="1"/>
        <v>On-time</v>
      </c>
      <c r="K8">
        <f t="shared" si="2"/>
        <v>100</v>
      </c>
      <c r="L8">
        <v>0</v>
      </c>
      <c r="M8">
        <v>0</v>
      </c>
      <c r="N8" t="s">
        <v>68</v>
      </c>
      <c r="O8" t="str">
        <f t="shared" si="3"/>
        <v>Yes</v>
      </c>
      <c r="P8" t="s">
        <v>69</v>
      </c>
    </row>
    <row r="9" spans="1:16">
      <c r="A9" t="s">
        <v>70</v>
      </c>
      <c r="B9" t="s">
        <v>64</v>
      </c>
      <c r="C9" t="s">
        <v>65</v>
      </c>
      <c r="D9" t="s">
        <v>71</v>
      </c>
      <c r="E9" t="s">
        <v>72</v>
      </c>
      <c r="F9" t="s">
        <v>73</v>
      </c>
      <c r="G9" s="6" t="s">
        <v>74</v>
      </c>
      <c r="H9" s="3" t="s">
        <v>74</v>
      </c>
      <c r="I9">
        <f t="shared" si="0"/>
        <v>0</v>
      </c>
      <c r="J9" t="str">
        <f t="shared" si="1"/>
        <v>On-time</v>
      </c>
      <c r="K9">
        <f t="shared" si="2"/>
        <v>100</v>
      </c>
      <c r="L9">
        <v>100</v>
      </c>
      <c r="M9">
        <v>100</v>
      </c>
      <c r="N9" t="s">
        <v>75</v>
      </c>
      <c r="O9" t="str">
        <f t="shared" si="3"/>
        <v>Yes</v>
      </c>
      <c r="P9" t="s">
        <v>76</v>
      </c>
    </row>
    <row r="10" spans="1:16">
      <c r="A10" t="s">
        <v>77</v>
      </c>
      <c r="B10" t="s">
        <v>78</v>
      </c>
      <c r="C10" t="s">
        <v>79</v>
      </c>
      <c r="D10" t="s">
        <v>19</v>
      </c>
      <c r="E10" t="s">
        <v>52</v>
      </c>
      <c r="F10" t="s">
        <v>28</v>
      </c>
      <c r="G10" s="6" t="s">
        <v>80</v>
      </c>
      <c r="H10" s="3" t="s">
        <v>81</v>
      </c>
      <c r="I10">
        <f t="shared" si="0"/>
        <v>4</v>
      </c>
      <c r="J10" t="str">
        <f t="shared" si="1"/>
        <v>Late</v>
      </c>
      <c r="K10">
        <f t="shared" si="2"/>
        <v>80</v>
      </c>
      <c r="L10">
        <v>85</v>
      </c>
      <c r="M10">
        <v>83</v>
      </c>
      <c r="N10" t="s">
        <v>55</v>
      </c>
      <c r="O10" t="str">
        <f t="shared" si="3"/>
        <v>No</v>
      </c>
      <c r="P10" t="s">
        <v>82</v>
      </c>
    </row>
    <row r="11" spans="1:16">
      <c r="A11" t="s">
        <v>83</v>
      </c>
      <c r="B11" t="s">
        <v>78</v>
      </c>
      <c r="C11" t="s">
        <v>79</v>
      </c>
      <c r="D11" t="s">
        <v>43</v>
      </c>
      <c r="E11" t="s">
        <v>84</v>
      </c>
      <c r="F11" t="s">
        <v>85</v>
      </c>
      <c r="G11" s="6" t="s">
        <v>86</v>
      </c>
      <c r="H11" s="3" t="s">
        <v>87</v>
      </c>
      <c r="I11">
        <f t="shared" si="0"/>
        <v>2</v>
      </c>
      <c r="J11" t="str">
        <f t="shared" si="1"/>
        <v>Late</v>
      </c>
      <c r="K11">
        <f t="shared" si="2"/>
        <v>90</v>
      </c>
      <c r="L11">
        <v>95</v>
      </c>
      <c r="M11">
        <v>93</v>
      </c>
      <c r="N11" t="s">
        <v>88</v>
      </c>
      <c r="O11" t="str">
        <f t="shared" si="3"/>
        <v>No</v>
      </c>
      <c r="P11" t="s">
        <v>89</v>
      </c>
    </row>
    <row r="12" spans="1:16">
      <c r="A12" t="s">
        <v>90</v>
      </c>
      <c r="B12" t="s">
        <v>91</v>
      </c>
      <c r="C12" t="s">
        <v>92</v>
      </c>
      <c r="D12" t="s">
        <v>26</v>
      </c>
      <c r="E12" t="s">
        <v>27</v>
      </c>
      <c r="F12" t="s">
        <v>28</v>
      </c>
      <c r="G12" s="6" t="s">
        <v>93</v>
      </c>
      <c r="H12" s="3" t="s">
        <v>94</v>
      </c>
      <c r="I12">
        <f t="shared" si="0"/>
        <v>5</v>
      </c>
      <c r="J12" t="str">
        <f t="shared" si="1"/>
        <v>Late</v>
      </c>
      <c r="K12">
        <f t="shared" si="2"/>
        <v>75</v>
      </c>
      <c r="L12">
        <v>80</v>
      </c>
      <c r="M12">
        <v>75</v>
      </c>
      <c r="N12" t="s">
        <v>31</v>
      </c>
      <c r="O12" t="str">
        <f t="shared" si="3"/>
        <v>No</v>
      </c>
      <c r="P12" t="s">
        <v>95</v>
      </c>
    </row>
    <row r="13" spans="1:16">
      <c r="A13" t="s">
        <v>96</v>
      </c>
      <c r="B13" t="s">
        <v>91</v>
      </c>
      <c r="C13" t="s">
        <v>92</v>
      </c>
      <c r="D13" t="s">
        <v>71</v>
      </c>
      <c r="E13" t="s">
        <v>97</v>
      </c>
      <c r="F13" t="s">
        <v>37</v>
      </c>
      <c r="G13" s="6" t="s">
        <v>98</v>
      </c>
      <c r="H13" s="3" t="s">
        <v>99</v>
      </c>
      <c r="I13">
        <f t="shared" si="0"/>
        <v>3</v>
      </c>
      <c r="J13" t="str">
        <f t="shared" si="1"/>
        <v>Late</v>
      </c>
      <c r="K13">
        <f t="shared" si="2"/>
        <v>85</v>
      </c>
      <c r="L13">
        <v>100</v>
      </c>
      <c r="M13">
        <v>95</v>
      </c>
      <c r="N13" t="s">
        <v>75</v>
      </c>
      <c r="O13" t="str">
        <f t="shared" si="3"/>
        <v>No</v>
      </c>
      <c r="P13" t="s">
        <v>100</v>
      </c>
    </row>
    <row r="14" spans="1:16">
      <c r="A14" t="s">
        <v>101</v>
      </c>
      <c r="B14" t="s">
        <v>102</v>
      </c>
      <c r="C14" t="s">
        <v>103</v>
      </c>
      <c r="D14" t="s">
        <v>43</v>
      </c>
      <c r="E14" t="s">
        <v>44</v>
      </c>
      <c r="F14" t="s">
        <v>45</v>
      </c>
      <c r="G14" s="6" t="s">
        <v>46</v>
      </c>
      <c r="H14" s="3" t="s">
        <v>46</v>
      </c>
      <c r="I14">
        <f t="shared" si="0"/>
        <v>0</v>
      </c>
      <c r="J14" t="str">
        <f t="shared" si="1"/>
        <v>On-time</v>
      </c>
      <c r="K14">
        <f t="shared" si="2"/>
        <v>100</v>
      </c>
      <c r="L14">
        <v>90</v>
      </c>
      <c r="M14">
        <v>91</v>
      </c>
      <c r="N14" t="s">
        <v>47</v>
      </c>
      <c r="O14" t="str">
        <f t="shared" si="3"/>
        <v>Yes</v>
      </c>
      <c r="P14" t="s">
        <v>48</v>
      </c>
    </row>
    <row r="15" spans="1:16">
      <c r="A15" t="s">
        <v>104</v>
      </c>
      <c r="B15" t="s">
        <v>102</v>
      </c>
      <c r="C15" t="s">
        <v>103</v>
      </c>
      <c r="D15" t="s">
        <v>19</v>
      </c>
      <c r="E15" t="s">
        <v>20</v>
      </c>
      <c r="F15" t="s">
        <v>21</v>
      </c>
      <c r="G15" s="6" t="s">
        <v>105</v>
      </c>
      <c r="H15" s="3" t="s">
        <v>106</v>
      </c>
      <c r="I15">
        <f t="shared" si="0"/>
        <v>8</v>
      </c>
      <c r="J15" t="str">
        <f t="shared" si="1"/>
        <v>Overdue</v>
      </c>
      <c r="K15">
        <f t="shared" si="2"/>
        <v>60</v>
      </c>
      <c r="L15">
        <v>90</v>
      </c>
      <c r="M15">
        <v>85</v>
      </c>
      <c r="N15" t="s">
        <v>23</v>
      </c>
      <c r="O15" t="str">
        <f t="shared" si="3"/>
        <v>No</v>
      </c>
      <c r="P15" t="s">
        <v>107</v>
      </c>
    </row>
    <row r="16" spans="1:16">
      <c r="A16" t="s">
        <v>108</v>
      </c>
      <c r="B16" t="s">
        <v>109</v>
      </c>
      <c r="C16" t="s">
        <v>110</v>
      </c>
      <c r="D16" t="s">
        <v>71</v>
      </c>
      <c r="E16" t="s">
        <v>111</v>
      </c>
      <c r="F16" t="s">
        <v>37</v>
      </c>
      <c r="G16" s="6" t="s">
        <v>112</v>
      </c>
      <c r="H16" s="3" t="s">
        <v>113</v>
      </c>
      <c r="I16">
        <f t="shared" si="0"/>
        <v>2</v>
      </c>
      <c r="J16" t="str">
        <f t="shared" si="1"/>
        <v>Late</v>
      </c>
      <c r="K16">
        <f t="shared" si="2"/>
        <v>90</v>
      </c>
      <c r="L16">
        <v>95</v>
      </c>
      <c r="M16">
        <v>92</v>
      </c>
      <c r="N16" t="s">
        <v>114</v>
      </c>
      <c r="O16" t="str">
        <f t="shared" si="3"/>
        <v>No</v>
      </c>
      <c r="P16" t="s">
        <v>115</v>
      </c>
    </row>
    <row r="17" spans="1:16">
      <c r="A17" t="s">
        <v>116</v>
      </c>
      <c r="B17" t="s">
        <v>109</v>
      </c>
      <c r="C17" t="s">
        <v>110</v>
      </c>
      <c r="D17" t="s">
        <v>26</v>
      </c>
      <c r="E17" t="s">
        <v>117</v>
      </c>
      <c r="F17" t="s">
        <v>37</v>
      </c>
      <c r="G17" s="6" t="s">
        <v>118</v>
      </c>
      <c r="H17" s="3" t="s">
        <v>119</v>
      </c>
      <c r="I17">
        <f t="shared" si="0"/>
        <v>5</v>
      </c>
      <c r="J17" t="str">
        <f t="shared" si="1"/>
        <v>Late</v>
      </c>
      <c r="K17">
        <f t="shared" si="2"/>
        <v>75</v>
      </c>
      <c r="L17">
        <v>85</v>
      </c>
      <c r="M17">
        <v>80</v>
      </c>
      <c r="N17" t="s">
        <v>120</v>
      </c>
      <c r="O17" t="str">
        <f t="shared" si="3"/>
        <v>No</v>
      </c>
      <c r="P17" t="s">
        <v>32</v>
      </c>
    </row>
    <row r="18" spans="1:16">
      <c r="A18" t="s">
        <v>121</v>
      </c>
      <c r="B18" t="s">
        <v>122</v>
      </c>
      <c r="C18" t="s">
        <v>123</v>
      </c>
      <c r="D18" t="s">
        <v>19</v>
      </c>
      <c r="E18" t="s">
        <v>36</v>
      </c>
      <c r="F18" t="s">
        <v>37</v>
      </c>
      <c r="G18" s="6" t="s">
        <v>39</v>
      </c>
      <c r="H18" s="3" t="s">
        <v>124</v>
      </c>
      <c r="I18">
        <f t="shared" si="0"/>
        <v>8</v>
      </c>
      <c r="J18" t="str">
        <f t="shared" si="1"/>
        <v>Overdue</v>
      </c>
      <c r="K18">
        <f t="shared" si="2"/>
        <v>60</v>
      </c>
      <c r="L18">
        <v>95</v>
      </c>
      <c r="M18">
        <v>90</v>
      </c>
      <c r="N18" t="s">
        <v>40</v>
      </c>
      <c r="O18" t="str">
        <f t="shared" si="3"/>
        <v>No</v>
      </c>
      <c r="P18" t="s">
        <v>125</v>
      </c>
    </row>
    <row r="19" spans="1:16">
      <c r="A19" t="s">
        <v>126</v>
      </c>
      <c r="B19" t="s">
        <v>122</v>
      </c>
      <c r="C19" t="s">
        <v>123</v>
      </c>
      <c r="D19" t="s">
        <v>43</v>
      </c>
      <c r="E19" t="s">
        <v>58</v>
      </c>
      <c r="F19" t="s">
        <v>28</v>
      </c>
      <c r="G19" s="6" t="s">
        <v>94</v>
      </c>
      <c r="H19" s="3" t="s">
        <v>94</v>
      </c>
      <c r="I19">
        <f t="shared" si="0"/>
        <v>0</v>
      </c>
      <c r="J19" t="str">
        <f t="shared" si="1"/>
        <v>On-time</v>
      </c>
      <c r="K19">
        <f t="shared" si="2"/>
        <v>100</v>
      </c>
      <c r="L19">
        <v>85</v>
      </c>
      <c r="M19">
        <v>86</v>
      </c>
      <c r="N19" t="s">
        <v>61</v>
      </c>
      <c r="O19" t="str">
        <f t="shared" si="3"/>
        <v>Yes</v>
      </c>
      <c r="P19" t="s">
        <v>62</v>
      </c>
    </row>
    <row r="20" spans="1:16">
      <c r="A20" t="s">
        <v>127</v>
      </c>
      <c r="B20" t="s">
        <v>128</v>
      </c>
      <c r="C20" t="s">
        <v>129</v>
      </c>
      <c r="D20" t="s">
        <v>43</v>
      </c>
      <c r="E20" t="s">
        <v>84</v>
      </c>
      <c r="F20" t="s">
        <v>85</v>
      </c>
      <c r="G20" s="6" t="s">
        <v>53</v>
      </c>
      <c r="H20" s="3" t="s">
        <v>53</v>
      </c>
      <c r="I20">
        <f t="shared" si="0"/>
        <v>0</v>
      </c>
      <c r="J20" t="str">
        <f t="shared" si="1"/>
        <v>On-time</v>
      </c>
      <c r="K20">
        <f t="shared" si="2"/>
        <v>100</v>
      </c>
      <c r="L20">
        <v>95</v>
      </c>
      <c r="M20">
        <v>97</v>
      </c>
      <c r="N20" t="s">
        <v>88</v>
      </c>
      <c r="O20" t="str">
        <f t="shared" si="3"/>
        <v>Yes</v>
      </c>
      <c r="P20" t="s">
        <v>130</v>
      </c>
    </row>
    <row r="21" spans="1:16">
      <c r="A21" t="s">
        <v>131</v>
      </c>
      <c r="B21" t="s">
        <v>128</v>
      </c>
      <c r="C21" t="s">
        <v>129</v>
      </c>
      <c r="D21" t="s">
        <v>71</v>
      </c>
      <c r="E21" t="s">
        <v>97</v>
      </c>
      <c r="F21" t="s">
        <v>37</v>
      </c>
      <c r="G21" s="6" t="s">
        <v>98</v>
      </c>
      <c r="H21" s="3" t="s">
        <v>98</v>
      </c>
      <c r="I21">
        <f t="shared" si="0"/>
        <v>0</v>
      </c>
      <c r="J21" t="str">
        <f t="shared" si="1"/>
        <v>On-time</v>
      </c>
      <c r="K21">
        <f t="shared" si="2"/>
        <v>100</v>
      </c>
      <c r="L21">
        <v>100</v>
      </c>
      <c r="M21">
        <v>100</v>
      </c>
      <c r="N21" t="s">
        <v>75</v>
      </c>
      <c r="O21" t="str">
        <f t="shared" si="3"/>
        <v>Yes</v>
      </c>
      <c r="P21" t="s">
        <v>132</v>
      </c>
    </row>
    <row r="22" spans="1:16">
      <c r="A22" t="s">
        <v>133</v>
      </c>
      <c r="B22" t="s">
        <v>134</v>
      </c>
      <c r="C22" t="s">
        <v>135</v>
      </c>
      <c r="D22" t="s">
        <v>26</v>
      </c>
      <c r="E22" t="s">
        <v>66</v>
      </c>
      <c r="F22" t="s">
        <v>45</v>
      </c>
      <c r="G22" s="6" t="s">
        <v>74</v>
      </c>
      <c r="H22" s="3" t="s">
        <v>74</v>
      </c>
      <c r="I22">
        <f t="shared" si="0"/>
        <v>0</v>
      </c>
      <c r="J22" t="str">
        <f t="shared" si="1"/>
        <v>On-time</v>
      </c>
      <c r="K22">
        <f t="shared" si="2"/>
        <v>100</v>
      </c>
      <c r="L22">
        <v>0</v>
      </c>
      <c r="M22">
        <v>0</v>
      </c>
      <c r="N22" t="s">
        <v>68</v>
      </c>
      <c r="O22" t="str">
        <f t="shared" si="3"/>
        <v>Yes</v>
      </c>
      <c r="P22" t="s">
        <v>69</v>
      </c>
    </row>
    <row r="23" spans="1:16">
      <c r="A23" t="s">
        <v>136</v>
      </c>
      <c r="B23" t="s">
        <v>137</v>
      </c>
      <c r="C23" t="s">
        <v>138</v>
      </c>
      <c r="D23" t="s">
        <v>19</v>
      </c>
      <c r="E23" t="s">
        <v>20</v>
      </c>
      <c r="F23" t="s">
        <v>21</v>
      </c>
      <c r="G23" s="6" t="s">
        <v>105</v>
      </c>
      <c r="H23" s="3" t="s">
        <v>106</v>
      </c>
      <c r="I23">
        <f t="shared" si="0"/>
        <v>8</v>
      </c>
      <c r="J23" t="str">
        <f t="shared" si="1"/>
        <v>Overdue</v>
      </c>
      <c r="K23">
        <f t="shared" si="2"/>
        <v>60</v>
      </c>
      <c r="L23">
        <v>90</v>
      </c>
      <c r="M23">
        <v>85</v>
      </c>
      <c r="N23" t="s">
        <v>23</v>
      </c>
      <c r="O23" t="str">
        <f t="shared" si="3"/>
        <v>No</v>
      </c>
      <c r="P23" t="s">
        <v>107</v>
      </c>
    </row>
    <row r="24" spans="1:16">
      <c r="A24" t="s">
        <v>139</v>
      </c>
      <c r="B24" t="s">
        <v>140</v>
      </c>
      <c r="C24" t="s">
        <v>141</v>
      </c>
      <c r="D24" t="s">
        <v>43</v>
      </c>
      <c r="E24" t="s">
        <v>58</v>
      </c>
      <c r="F24" t="s">
        <v>28</v>
      </c>
      <c r="G24" s="6" t="s">
        <v>94</v>
      </c>
      <c r="H24" s="3" t="s">
        <v>94</v>
      </c>
      <c r="I24">
        <f t="shared" si="0"/>
        <v>0</v>
      </c>
      <c r="J24" t="str">
        <f t="shared" si="1"/>
        <v>On-time</v>
      </c>
      <c r="K24">
        <f t="shared" si="2"/>
        <v>100</v>
      </c>
      <c r="L24">
        <v>85</v>
      </c>
      <c r="M24">
        <v>86</v>
      </c>
      <c r="N24" t="s">
        <v>61</v>
      </c>
      <c r="O24" t="str">
        <f t="shared" si="3"/>
        <v>Yes</v>
      </c>
      <c r="P24" t="s">
        <v>62</v>
      </c>
    </row>
    <row r="25" spans="1:16">
      <c r="A25" t="s">
        <v>142</v>
      </c>
      <c r="B25" t="s">
        <v>143</v>
      </c>
      <c r="C25" t="s">
        <v>144</v>
      </c>
      <c r="D25" t="s">
        <v>71</v>
      </c>
      <c r="E25" t="s">
        <v>111</v>
      </c>
      <c r="F25" t="s">
        <v>37</v>
      </c>
      <c r="G25" s="6" t="s">
        <v>112</v>
      </c>
      <c r="H25" s="3" t="s">
        <v>113</v>
      </c>
      <c r="I25">
        <f t="shared" si="0"/>
        <v>2</v>
      </c>
      <c r="J25" t="str">
        <f t="shared" si="1"/>
        <v>Late</v>
      </c>
      <c r="K25">
        <f t="shared" si="2"/>
        <v>90</v>
      </c>
      <c r="L25">
        <v>95</v>
      </c>
      <c r="M25">
        <v>92</v>
      </c>
      <c r="N25" t="s">
        <v>114</v>
      </c>
      <c r="O25" t="str">
        <f t="shared" si="3"/>
        <v>No</v>
      </c>
      <c r="P25" t="s">
        <v>115</v>
      </c>
    </row>
    <row r="26" spans="1:16">
      <c r="A26" t="s">
        <v>145</v>
      </c>
      <c r="B26" t="s">
        <v>146</v>
      </c>
      <c r="C26" t="s">
        <v>147</v>
      </c>
      <c r="D26" t="s">
        <v>26</v>
      </c>
      <c r="E26" t="s">
        <v>27</v>
      </c>
      <c r="F26" t="s">
        <v>28</v>
      </c>
      <c r="G26" s="6" t="s">
        <v>29</v>
      </c>
      <c r="H26" s="3" t="s">
        <v>29</v>
      </c>
      <c r="I26">
        <f t="shared" si="0"/>
        <v>0</v>
      </c>
      <c r="J26" t="str">
        <f t="shared" si="1"/>
        <v>On-time</v>
      </c>
      <c r="K26">
        <f t="shared" si="2"/>
        <v>100</v>
      </c>
      <c r="L26">
        <v>80</v>
      </c>
      <c r="M26">
        <v>81</v>
      </c>
      <c r="N26" t="s">
        <v>31</v>
      </c>
      <c r="O26" t="str">
        <f t="shared" si="3"/>
        <v>Yes</v>
      </c>
      <c r="P26" t="s">
        <v>148</v>
      </c>
    </row>
    <row r="27" spans="1:16">
      <c r="A27" t="s">
        <v>149</v>
      </c>
      <c r="B27" t="s">
        <v>150</v>
      </c>
      <c r="C27" t="s">
        <v>151</v>
      </c>
      <c r="D27" t="s">
        <v>43</v>
      </c>
      <c r="E27" t="s">
        <v>84</v>
      </c>
      <c r="F27" t="s">
        <v>85</v>
      </c>
      <c r="G27" s="6" t="s">
        <v>86</v>
      </c>
      <c r="H27" s="3" t="s">
        <v>87</v>
      </c>
      <c r="I27">
        <f t="shared" si="0"/>
        <v>2</v>
      </c>
      <c r="J27" t="str">
        <f t="shared" si="1"/>
        <v>Late</v>
      </c>
      <c r="K27">
        <f t="shared" si="2"/>
        <v>90</v>
      </c>
      <c r="L27">
        <v>95</v>
      </c>
      <c r="M27">
        <v>93</v>
      </c>
      <c r="N27" t="s">
        <v>88</v>
      </c>
      <c r="O27" t="str">
        <f t="shared" si="3"/>
        <v>No</v>
      </c>
      <c r="P27" t="s">
        <v>89</v>
      </c>
    </row>
    <row r="28" spans="1:16">
      <c r="A28" t="s">
        <v>152</v>
      </c>
      <c r="B28" t="s">
        <v>153</v>
      </c>
      <c r="C28" t="s">
        <v>154</v>
      </c>
      <c r="D28" t="s">
        <v>19</v>
      </c>
      <c r="E28" t="s">
        <v>52</v>
      </c>
      <c r="F28" t="s">
        <v>28</v>
      </c>
      <c r="G28" s="6" t="s">
        <v>53</v>
      </c>
      <c r="H28" s="3" t="s">
        <v>53</v>
      </c>
      <c r="I28">
        <f t="shared" si="0"/>
        <v>0</v>
      </c>
      <c r="J28" t="str">
        <f t="shared" si="1"/>
        <v>On-time</v>
      </c>
      <c r="K28">
        <f t="shared" si="2"/>
        <v>100</v>
      </c>
      <c r="L28">
        <v>85</v>
      </c>
      <c r="M28">
        <v>88</v>
      </c>
      <c r="N28" t="s">
        <v>55</v>
      </c>
      <c r="O28" t="str">
        <f t="shared" si="3"/>
        <v>Yes</v>
      </c>
      <c r="P28" t="s">
        <v>155</v>
      </c>
    </row>
    <row r="29" spans="1:16">
      <c r="A29" t="s">
        <v>156</v>
      </c>
      <c r="B29" t="s">
        <v>157</v>
      </c>
      <c r="C29" t="s">
        <v>158</v>
      </c>
      <c r="D29" t="s">
        <v>71</v>
      </c>
      <c r="E29" t="s">
        <v>97</v>
      </c>
      <c r="F29" t="s">
        <v>37</v>
      </c>
      <c r="G29" s="6" t="s">
        <v>98</v>
      </c>
      <c r="H29" s="3" t="s">
        <v>98</v>
      </c>
      <c r="I29">
        <f t="shared" si="0"/>
        <v>0</v>
      </c>
      <c r="J29" t="str">
        <f t="shared" si="1"/>
        <v>On-time</v>
      </c>
      <c r="K29">
        <f t="shared" si="2"/>
        <v>100</v>
      </c>
      <c r="L29">
        <v>100</v>
      </c>
      <c r="M29">
        <v>100</v>
      </c>
      <c r="N29" t="s">
        <v>75</v>
      </c>
      <c r="O29" t="str">
        <f t="shared" si="3"/>
        <v>Yes</v>
      </c>
      <c r="P29" t="s">
        <v>132</v>
      </c>
    </row>
    <row r="30" spans="1:16">
      <c r="A30" t="s">
        <v>159</v>
      </c>
      <c r="B30" t="s">
        <v>160</v>
      </c>
      <c r="C30" t="s">
        <v>161</v>
      </c>
      <c r="D30" t="s">
        <v>26</v>
      </c>
      <c r="E30" t="s">
        <v>117</v>
      </c>
      <c r="F30" t="s">
        <v>37</v>
      </c>
      <c r="G30" s="6" t="s">
        <v>118</v>
      </c>
      <c r="H30" s="3" t="s">
        <v>119</v>
      </c>
      <c r="I30">
        <f t="shared" si="0"/>
        <v>5</v>
      </c>
      <c r="J30" t="str">
        <f t="shared" si="1"/>
        <v>Late</v>
      </c>
      <c r="K30">
        <f t="shared" si="2"/>
        <v>75</v>
      </c>
      <c r="L30">
        <v>85</v>
      </c>
      <c r="M30">
        <v>80</v>
      </c>
      <c r="N30" t="s">
        <v>120</v>
      </c>
      <c r="O30" t="str">
        <f t="shared" si="3"/>
        <v>No</v>
      </c>
      <c r="P30" t="s">
        <v>32</v>
      </c>
    </row>
    <row r="31" spans="1:16">
      <c r="A31" t="s">
        <v>162</v>
      </c>
      <c r="B31" t="s">
        <v>163</v>
      </c>
      <c r="C31" t="s">
        <v>164</v>
      </c>
      <c r="D31" t="s">
        <v>43</v>
      </c>
      <c r="E31" t="s">
        <v>44</v>
      </c>
      <c r="F31" t="s">
        <v>45</v>
      </c>
      <c r="G31" s="6" t="s">
        <v>46</v>
      </c>
      <c r="H31" s="3" t="s">
        <v>105</v>
      </c>
      <c r="I31">
        <f t="shared" si="0"/>
        <v>2</v>
      </c>
      <c r="J31" t="str">
        <f t="shared" si="1"/>
        <v>Late</v>
      </c>
      <c r="K31">
        <f t="shared" si="2"/>
        <v>90</v>
      </c>
      <c r="L31">
        <v>90</v>
      </c>
      <c r="M31">
        <v>88</v>
      </c>
      <c r="N31" t="s">
        <v>47</v>
      </c>
      <c r="O31" t="str">
        <f t="shared" si="3"/>
        <v>No</v>
      </c>
      <c r="P31" t="s">
        <v>165</v>
      </c>
    </row>
    <row r="32" spans="1:16">
      <c r="A32" t="s">
        <v>166</v>
      </c>
      <c r="B32" t="s">
        <v>167</v>
      </c>
      <c r="C32" t="s">
        <v>168</v>
      </c>
      <c r="D32" t="s">
        <v>19</v>
      </c>
      <c r="E32" t="s">
        <v>169</v>
      </c>
      <c r="F32" t="s">
        <v>37</v>
      </c>
      <c r="G32" s="6" t="s">
        <v>170</v>
      </c>
      <c r="H32" s="3" t="s">
        <v>170</v>
      </c>
      <c r="I32">
        <f t="shared" si="0"/>
        <v>0</v>
      </c>
      <c r="J32" t="str">
        <f t="shared" si="1"/>
        <v>On-time</v>
      </c>
      <c r="K32">
        <f t="shared" si="2"/>
        <v>100</v>
      </c>
      <c r="L32">
        <v>95</v>
      </c>
      <c r="M32">
        <v>97</v>
      </c>
      <c r="N32" t="s">
        <v>40</v>
      </c>
      <c r="O32" t="str">
        <f t="shared" si="3"/>
        <v>Yes</v>
      </c>
      <c r="P32" t="s">
        <v>171</v>
      </c>
    </row>
    <row r="33" spans="1:16">
      <c r="A33" t="s">
        <v>172</v>
      </c>
      <c r="B33" t="s">
        <v>173</v>
      </c>
      <c r="C33" t="s">
        <v>174</v>
      </c>
      <c r="D33" t="s">
        <v>26</v>
      </c>
      <c r="E33" t="s">
        <v>175</v>
      </c>
      <c r="F33" t="s">
        <v>28</v>
      </c>
      <c r="G33" s="6" t="s">
        <v>93</v>
      </c>
      <c r="H33" s="3" t="s">
        <v>176</v>
      </c>
      <c r="I33">
        <f t="shared" si="0"/>
        <v>1</v>
      </c>
      <c r="J33" t="str">
        <f t="shared" si="1"/>
        <v>Late</v>
      </c>
      <c r="K33">
        <f t="shared" si="2"/>
        <v>95</v>
      </c>
      <c r="L33">
        <v>90</v>
      </c>
      <c r="M33">
        <v>89</v>
      </c>
      <c r="N33" t="s">
        <v>177</v>
      </c>
      <c r="O33" t="str">
        <f t="shared" si="3"/>
        <v>No</v>
      </c>
      <c r="P33" t="s">
        <v>178</v>
      </c>
    </row>
    <row r="34" spans="1:16">
      <c r="A34" t="s">
        <v>179</v>
      </c>
      <c r="B34" t="s">
        <v>180</v>
      </c>
      <c r="C34" t="s">
        <v>181</v>
      </c>
      <c r="D34" t="s">
        <v>71</v>
      </c>
      <c r="E34" t="s">
        <v>182</v>
      </c>
      <c r="F34" t="s">
        <v>28</v>
      </c>
      <c r="G34" s="6" t="s">
        <v>67</v>
      </c>
      <c r="H34" s="3" t="s">
        <v>67</v>
      </c>
      <c r="I34">
        <f t="shared" si="0"/>
        <v>0</v>
      </c>
      <c r="J34" t="str">
        <f t="shared" si="1"/>
        <v>On-time</v>
      </c>
      <c r="K34">
        <f t="shared" si="2"/>
        <v>100</v>
      </c>
      <c r="L34">
        <v>90</v>
      </c>
      <c r="M34">
        <v>93</v>
      </c>
      <c r="N34" t="s">
        <v>75</v>
      </c>
      <c r="O34" t="str">
        <f t="shared" si="3"/>
        <v>Yes</v>
      </c>
      <c r="P34" t="s">
        <v>183</v>
      </c>
    </row>
    <row r="35" spans="1:16">
      <c r="A35" t="s">
        <v>184</v>
      </c>
      <c r="B35" t="s">
        <v>185</v>
      </c>
      <c r="C35" t="s">
        <v>186</v>
      </c>
      <c r="D35" t="s">
        <v>43</v>
      </c>
      <c r="E35" t="s">
        <v>187</v>
      </c>
      <c r="F35" t="s">
        <v>28</v>
      </c>
      <c r="G35" s="6" t="s">
        <v>118</v>
      </c>
      <c r="H35" s="3" t="s">
        <v>118</v>
      </c>
      <c r="I35">
        <f t="shared" si="0"/>
        <v>0</v>
      </c>
      <c r="J35" t="str">
        <f t="shared" si="1"/>
        <v>On-time</v>
      </c>
      <c r="K35">
        <f t="shared" si="2"/>
        <v>100</v>
      </c>
      <c r="L35">
        <v>90</v>
      </c>
      <c r="M35">
        <v>92</v>
      </c>
      <c r="N35" t="s">
        <v>47</v>
      </c>
      <c r="O35" t="str">
        <f t="shared" si="3"/>
        <v>Yes</v>
      </c>
      <c r="P35" t="s">
        <v>188</v>
      </c>
    </row>
    <row r="36" spans="1:16">
      <c r="A36" t="s">
        <v>189</v>
      </c>
      <c r="B36" t="s">
        <v>190</v>
      </c>
      <c r="C36" t="s">
        <v>191</v>
      </c>
      <c r="D36" t="s">
        <v>19</v>
      </c>
      <c r="E36" t="s">
        <v>192</v>
      </c>
      <c r="F36" t="s">
        <v>37</v>
      </c>
      <c r="G36" s="6" t="s">
        <v>80</v>
      </c>
      <c r="H36" s="3" t="s">
        <v>193</v>
      </c>
      <c r="I36">
        <f t="shared" si="0"/>
        <v>8</v>
      </c>
      <c r="J36" t="str">
        <f t="shared" si="1"/>
        <v>Overdue</v>
      </c>
      <c r="K36">
        <f t="shared" si="2"/>
        <v>60</v>
      </c>
      <c r="L36">
        <v>85</v>
      </c>
      <c r="M36">
        <v>79</v>
      </c>
      <c r="N36" t="s">
        <v>55</v>
      </c>
      <c r="O36" t="str">
        <f t="shared" si="3"/>
        <v>No</v>
      </c>
      <c r="P36" t="s">
        <v>194</v>
      </c>
    </row>
    <row r="37" spans="1:16">
      <c r="A37" t="s">
        <v>195</v>
      </c>
      <c r="B37" t="s">
        <v>196</v>
      </c>
      <c r="C37" t="s">
        <v>197</v>
      </c>
      <c r="D37" t="s">
        <v>26</v>
      </c>
      <c r="E37" t="s">
        <v>198</v>
      </c>
      <c r="F37" t="s">
        <v>37</v>
      </c>
      <c r="G37" s="6" t="s">
        <v>199</v>
      </c>
      <c r="H37" s="3" t="s">
        <v>199</v>
      </c>
      <c r="I37">
        <f t="shared" si="0"/>
        <v>0</v>
      </c>
      <c r="J37" t="str">
        <f t="shared" si="1"/>
        <v>On-time</v>
      </c>
      <c r="K37">
        <f t="shared" si="2"/>
        <v>100</v>
      </c>
      <c r="L37">
        <v>95</v>
      </c>
      <c r="M37">
        <v>96</v>
      </c>
      <c r="N37" t="s">
        <v>200</v>
      </c>
      <c r="O37" t="str">
        <f t="shared" si="3"/>
        <v>Yes</v>
      </c>
      <c r="P37" t="s">
        <v>201</v>
      </c>
    </row>
    <row r="38" spans="1:16">
      <c r="A38" t="s">
        <v>202</v>
      </c>
      <c r="B38" t="s">
        <v>203</v>
      </c>
      <c r="C38" t="s">
        <v>204</v>
      </c>
      <c r="D38" t="s">
        <v>71</v>
      </c>
      <c r="E38" t="s">
        <v>205</v>
      </c>
      <c r="F38" t="s">
        <v>37</v>
      </c>
      <c r="G38" s="6" t="s">
        <v>53</v>
      </c>
      <c r="H38" s="3" t="s">
        <v>206</v>
      </c>
      <c r="I38">
        <f t="shared" si="0"/>
        <v>2</v>
      </c>
      <c r="J38" t="str">
        <f t="shared" si="1"/>
        <v>Late</v>
      </c>
      <c r="K38">
        <f t="shared" si="2"/>
        <v>90</v>
      </c>
      <c r="L38">
        <v>95</v>
      </c>
      <c r="M38">
        <v>94</v>
      </c>
      <c r="N38" t="s">
        <v>114</v>
      </c>
      <c r="O38" t="str">
        <f t="shared" si="3"/>
        <v>No</v>
      </c>
      <c r="P38" t="s">
        <v>207</v>
      </c>
    </row>
    <row r="39" spans="1:16">
      <c r="A39" t="s">
        <v>208</v>
      </c>
      <c r="B39" t="s">
        <v>209</v>
      </c>
      <c r="C39" t="s">
        <v>210</v>
      </c>
      <c r="D39" t="s">
        <v>43</v>
      </c>
      <c r="E39" t="s">
        <v>211</v>
      </c>
      <c r="F39" t="s">
        <v>45</v>
      </c>
      <c r="G39" s="6" t="s">
        <v>29</v>
      </c>
      <c r="H39" s="3" t="s">
        <v>29</v>
      </c>
      <c r="I39">
        <f t="shared" si="0"/>
        <v>0</v>
      </c>
      <c r="J39" t="str">
        <f t="shared" si="1"/>
        <v>On-time</v>
      </c>
      <c r="K39">
        <f t="shared" si="2"/>
        <v>100</v>
      </c>
      <c r="L39">
        <v>85</v>
      </c>
      <c r="M39">
        <v>89</v>
      </c>
      <c r="N39" t="s">
        <v>212</v>
      </c>
      <c r="O39" t="str">
        <f t="shared" si="3"/>
        <v>Yes</v>
      </c>
      <c r="P39" t="s">
        <v>213</v>
      </c>
    </row>
    <row r="40" spans="1:16">
      <c r="A40" t="s">
        <v>214</v>
      </c>
      <c r="B40" t="s">
        <v>215</v>
      </c>
      <c r="C40" t="s">
        <v>216</v>
      </c>
      <c r="D40" t="s">
        <v>19</v>
      </c>
      <c r="E40" t="s">
        <v>217</v>
      </c>
      <c r="F40" t="s">
        <v>37</v>
      </c>
      <c r="G40" s="6" t="s">
        <v>94</v>
      </c>
      <c r="H40" s="3" t="s">
        <v>218</v>
      </c>
      <c r="I40">
        <f t="shared" si="0"/>
        <v>3</v>
      </c>
      <c r="J40" t="str">
        <f t="shared" si="1"/>
        <v>Late</v>
      </c>
      <c r="K40">
        <f t="shared" si="2"/>
        <v>85</v>
      </c>
      <c r="L40">
        <v>90</v>
      </c>
      <c r="M40">
        <v>88</v>
      </c>
      <c r="N40" t="s">
        <v>31</v>
      </c>
      <c r="O40" t="str">
        <f t="shared" si="3"/>
        <v>No</v>
      </c>
      <c r="P40" t="s">
        <v>219</v>
      </c>
    </row>
    <row r="41" spans="1:16">
      <c r="A41" t="s">
        <v>220</v>
      </c>
      <c r="B41" t="s">
        <v>221</v>
      </c>
      <c r="C41" t="s">
        <v>222</v>
      </c>
      <c r="D41" t="s">
        <v>26</v>
      </c>
      <c r="E41" t="s">
        <v>223</v>
      </c>
      <c r="F41" t="s">
        <v>28</v>
      </c>
      <c r="G41" s="6" t="s">
        <v>106</v>
      </c>
      <c r="H41" s="3" t="s">
        <v>106</v>
      </c>
      <c r="I41">
        <f t="shared" si="0"/>
        <v>0</v>
      </c>
      <c r="J41" t="str">
        <f t="shared" si="1"/>
        <v>On-time</v>
      </c>
      <c r="K41">
        <f t="shared" si="2"/>
        <v>100</v>
      </c>
      <c r="L41">
        <v>90</v>
      </c>
      <c r="M41">
        <v>92</v>
      </c>
      <c r="N41" t="s">
        <v>120</v>
      </c>
      <c r="O41" t="str">
        <f t="shared" si="3"/>
        <v>Yes</v>
      </c>
      <c r="P41" t="s">
        <v>224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6506C-194F-4B4E-89D0-555050BFEE0C}">
  <dimension ref="A1:M26"/>
  <sheetViews>
    <sheetView tabSelected="1" workbookViewId="0">
      <selection activeCell="M1" sqref="M1"/>
    </sheetView>
  </sheetViews>
  <sheetFormatPr defaultRowHeight="15"/>
  <cols>
    <col min="1" max="1" width="32.7109375" bestFit="1" customWidth="1"/>
    <col min="2" max="2" width="25.7109375" customWidth="1"/>
    <col min="5" max="5" width="35.28515625" bestFit="1" customWidth="1"/>
    <col min="6" max="6" width="23.7109375" bestFit="1" customWidth="1"/>
    <col min="9" max="9" width="35" bestFit="1" customWidth="1"/>
    <col min="10" max="10" width="23.42578125" customWidth="1"/>
    <col min="13" max="13" width="29.140625" bestFit="1" customWidth="1"/>
    <col min="14" max="14" width="23.7109375" bestFit="1" customWidth="1"/>
  </cols>
  <sheetData>
    <row r="1" spans="1:13">
      <c r="A1" s="9" t="s">
        <v>225</v>
      </c>
      <c r="E1" s="9" t="s">
        <v>226</v>
      </c>
      <c r="I1" s="1" t="s">
        <v>227</v>
      </c>
      <c r="M1" s="1"/>
    </row>
    <row r="3" spans="1:13" ht="30.75">
      <c r="A3" s="8" t="s">
        <v>9</v>
      </c>
      <c r="B3" t="s">
        <v>228</v>
      </c>
      <c r="E3" s="8" t="s">
        <v>14</v>
      </c>
      <c r="F3" t="s">
        <v>228</v>
      </c>
      <c r="I3" s="8" t="s">
        <v>4</v>
      </c>
      <c r="J3" s="4" t="s">
        <v>228</v>
      </c>
    </row>
    <row r="4" spans="1:13">
      <c r="A4" t="s">
        <v>229</v>
      </c>
      <c r="B4" s="7">
        <v>16</v>
      </c>
      <c r="E4" t="s">
        <v>230</v>
      </c>
      <c r="F4" s="10">
        <v>0.47499999999999998</v>
      </c>
      <c r="I4" t="s">
        <v>52</v>
      </c>
      <c r="J4" s="7">
        <v>3</v>
      </c>
    </row>
    <row r="5" spans="1:13">
      <c r="A5" t="s">
        <v>231</v>
      </c>
      <c r="B5" s="7">
        <v>19</v>
      </c>
      <c r="E5" t="s">
        <v>232</v>
      </c>
      <c r="F5" s="10">
        <v>0.52500000000000002</v>
      </c>
      <c r="I5" t="s">
        <v>211</v>
      </c>
      <c r="J5" s="7">
        <v>1</v>
      </c>
    </row>
    <row r="6" spans="1:13">
      <c r="A6" t="s">
        <v>233</v>
      </c>
      <c r="B6" s="7">
        <v>5</v>
      </c>
      <c r="E6" t="s">
        <v>234</v>
      </c>
      <c r="F6" s="10">
        <v>1</v>
      </c>
      <c r="I6" t="s">
        <v>72</v>
      </c>
      <c r="J6" s="7">
        <v>1</v>
      </c>
    </row>
    <row r="7" spans="1:13" ht="18">
      <c r="A7" t="s">
        <v>234</v>
      </c>
      <c r="B7" s="7">
        <v>40</v>
      </c>
      <c r="E7" s="11" t="s">
        <v>235</v>
      </c>
      <c r="I7" t="s">
        <v>182</v>
      </c>
      <c r="J7" s="7">
        <v>1</v>
      </c>
    </row>
    <row r="8" spans="1:13" ht="30.75">
      <c r="E8" s="4" t="s">
        <v>236</v>
      </c>
      <c r="I8" t="s">
        <v>117</v>
      </c>
      <c r="J8" s="7">
        <v>2</v>
      </c>
    </row>
    <row r="9" spans="1:13" ht="18">
      <c r="E9" s="11"/>
      <c r="I9" t="s">
        <v>175</v>
      </c>
      <c r="J9" s="7">
        <v>1</v>
      </c>
    </row>
    <row r="10" spans="1:13">
      <c r="A10" s="1" t="s">
        <v>237</v>
      </c>
      <c r="E10" s="12"/>
      <c r="I10" t="s">
        <v>84</v>
      </c>
      <c r="J10" s="7">
        <v>3</v>
      </c>
    </row>
    <row r="11" spans="1:13">
      <c r="I11" t="s">
        <v>97</v>
      </c>
      <c r="J11" s="7">
        <v>3</v>
      </c>
    </row>
    <row r="12" spans="1:13">
      <c r="A12" s="8" t="s">
        <v>3</v>
      </c>
      <c r="B12" t="s">
        <v>238</v>
      </c>
      <c r="I12" t="s">
        <v>36</v>
      </c>
      <c r="J12" s="7">
        <v>2</v>
      </c>
    </row>
    <row r="13" spans="1:13">
      <c r="A13" t="s">
        <v>71</v>
      </c>
      <c r="B13" s="7">
        <v>94.375</v>
      </c>
      <c r="I13" t="s">
        <v>66</v>
      </c>
      <c r="J13" s="7">
        <v>2</v>
      </c>
    </row>
    <row r="14" spans="1:13">
      <c r="A14" t="s">
        <v>19</v>
      </c>
      <c r="B14" s="7">
        <v>77.272727272727266</v>
      </c>
      <c r="I14" t="s">
        <v>217</v>
      </c>
      <c r="J14" s="7">
        <v>1</v>
      </c>
    </row>
    <row r="15" spans="1:13">
      <c r="A15" t="s">
        <v>43</v>
      </c>
      <c r="B15" s="7">
        <v>96.818181818181813</v>
      </c>
      <c r="I15" t="s">
        <v>205</v>
      </c>
      <c r="J15" s="7">
        <v>1</v>
      </c>
    </row>
    <row r="16" spans="1:13">
      <c r="A16" t="s">
        <v>26</v>
      </c>
      <c r="B16" s="7">
        <v>91</v>
      </c>
      <c r="I16" t="s">
        <v>44</v>
      </c>
      <c r="J16" s="7">
        <v>3</v>
      </c>
    </row>
    <row r="17" spans="1:10">
      <c r="A17" t="s">
        <v>234</v>
      </c>
      <c r="B17" s="7">
        <v>89.5</v>
      </c>
      <c r="I17" t="s">
        <v>198</v>
      </c>
      <c r="J17" s="7">
        <v>1</v>
      </c>
    </row>
    <row r="18" spans="1:10">
      <c r="I18" t="s">
        <v>27</v>
      </c>
      <c r="J18" s="7">
        <v>3</v>
      </c>
    </row>
    <row r="19" spans="1:10">
      <c r="I19" t="s">
        <v>58</v>
      </c>
      <c r="J19" s="7">
        <v>3</v>
      </c>
    </row>
    <row r="20" spans="1:10">
      <c r="I20" t="s">
        <v>192</v>
      </c>
      <c r="J20" s="7">
        <v>1</v>
      </c>
    </row>
    <row r="21" spans="1:10">
      <c r="I21" t="s">
        <v>169</v>
      </c>
      <c r="J21" s="7">
        <v>1</v>
      </c>
    </row>
    <row r="22" spans="1:10">
      <c r="I22" t="s">
        <v>20</v>
      </c>
      <c r="J22" s="7">
        <v>3</v>
      </c>
    </row>
    <row r="23" spans="1:10">
      <c r="I23" t="s">
        <v>187</v>
      </c>
      <c r="J23" s="7">
        <v>1</v>
      </c>
    </row>
    <row r="24" spans="1:10">
      <c r="I24" t="s">
        <v>111</v>
      </c>
      <c r="J24" s="7">
        <v>2</v>
      </c>
    </row>
    <row r="25" spans="1:10">
      <c r="I25" t="s">
        <v>223</v>
      </c>
      <c r="J25" s="7">
        <v>1</v>
      </c>
    </row>
    <row r="26" spans="1:10">
      <c r="I26" t="s">
        <v>234</v>
      </c>
      <c r="J26" s="7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tamara ajaluwa</cp:lastModifiedBy>
  <cp:revision/>
  <dcterms:created xsi:type="dcterms:W3CDTF">2026-06-03T23:39:03Z</dcterms:created>
  <dcterms:modified xsi:type="dcterms:W3CDTF">2026-06-04T02:57:24Z</dcterms:modified>
  <cp:category/>
  <cp:contentStatus/>
</cp:coreProperties>
</file>